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Activity" sheetId="1" state="visible" r:id="rId3"/>
    <sheet name="M-NonW-Age" sheetId="2" state="visible" r:id="rId4"/>
    <sheet name="F-NonW-Age" sheetId="3" state="visible" r:id="rId5"/>
    <sheet name="M-Work-Age" sheetId="4" state="visible" r:id="rId6"/>
    <sheet name="F-Work-Ag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<sst xmlns="http://schemas.openxmlformats.org/spreadsheetml/2006/main" count="224" uniqueCount="27">
  <si>
    <t xml:space="preserve">TIMEHOME</t>
  </si>
  <si>
    <t xml:space="preserve">Male, NonWorker</t>
  </si>
  <si>
    <t xml:space="preserve">Female,NonWorker</t>
  </si>
  <si>
    <t xml:space="preserve">Male,Worker</t>
  </si>
  <si>
    <t xml:space="preserve">Female,Worker</t>
  </si>
  <si>
    <t xml:space="preserve">AGE</t>
  </si>
  <si>
    <t xml:space="preserve">18-20</t>
  </si>
  <si>
    <t xml:space="preserve">21-25</t>
  </si>
  <si>
    <t xml:space="preserve">26-30</t>
  </si>
  <si>
    <t xml:space="preserve">31-35</t>
  </si>
  <si>
    <t xml:space="preserve">36-40</t>
  </si>
  <si>
    <t xml:space="preserve">41-45</t>
  </si>
  <si>
    <t xml:space="preserve">46-50</t>
  </si>
  <si>
    <t xml:space="preserve">51-55</t>
  </si>
  <si>
    <t xml:space="preserve">56-60</t>
  </si>
  <si>
    <t xml:space="preserve">61-65</t>
  </si>
  <si>
    <t xml:space="preserve">TIMEWORK</t>
  </si>
  <si>
    <t xml:space="preserve">TIMESHOP</t>
  </si>
  <si>
    <t xml:space="preserve">TIMEOTHER</t>
  </si>
  <si>
    <t xml:space="preserve">TIMETRAVEL</t>
  </si>
  <si>
    <t xml:space="preserve">TIMEOTHE</t>
  </si>
  <si>
    <t xml:space="preserve">TIMETRAV</t>
  </si>
  <si>
    <t xml:space="preserve">Value  Label</t>
  </si>
  <si>
    <t xml:space="preserve">Mean</t>
  </si>
  <si>
    <t xml:space="preserve">Std Dev</t>
  </si>
  <si>
    <t xml:space="preserve">Cases</t>
  </si>
  <si>
    <t xml:space="preserve">ulation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</si>
</sst>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9"/>
      <color rgb="FF000000"/>
      <name val="Geneva"/>
      <family val="2"/>
    </font>
    <font>
      <b val="true"/>
      <sz val="9"/>
      <color rgb="FF000000"/>
      <name val="Geneva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Home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2219087917254"/>
          <c:y val="0.213026655202064"/>
          <c:w val="0.881053126469205"/>
          <c:h val="0.62704213241616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Activity'!$B$4</c:f>
              <c:strCache>
                <c:ptCount val="1"/>
                <c:pt idx="0">
                  <c:v>Male, NonWorker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diamond"/>
            <c:size val="9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Activity'!$A$5:$A$14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Activity'!$B$5:$B$14</c:f>
              <c:numCache>
                <c:formatCode>0</c:formatCode>
                <c:ptCount val="10"/>
                <c:pt idx="0">
                  <c:v>1047</c:v>
                </c:pt>
                <c:pt idx="1">
                  <c:v>1128.6571</c:v>
                </c:pt>
                <c:pt idx="2">
                  <c:v>1140.5789</c:v>
                </c:pt>
                <c:pt idx="8">
                  <c:v>1206.6531</c:v>
                </c:pt>
                <c:pt idx="9">
                  <c:v>1225.2041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Activity'!$C$4</c:f>
              <c:strCache>
                <c:ptCount val="1"/>
                <c:pt idx="0">
                  <c:v>Female,NonWorker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Activity'!$A$5:$A$14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Activity'!$C$5:$C$14</c:f>
              <c:numCache>
                <c:formatCode>0</c:formatCode>
                <c:ptCount val="10"/>
                <c:pt idx="0">
                  <c:v>1066.0779</c:v>
                </c:pt>
                <c:pt idx="1">
                  <c:v>1136.7748</c:v>
                </c:pt>
                <c:pt idx="2">
                  <c:v>1154.979</c:v>
                </c:pt>
                <c:pt idx="3">
                  <c:v>1199.5918</c:v>
                </c:pt>
                <c:pt idx="4">
                  <c:v>1199.4265</c:v>
                </c:pt>
                <c:pt idx="5">
                  <c:v>1175.475</c:v>
                </c:pt>
                <c:pt idx="6">
                  <c:v>1188.5902</c:v>
                </c:pt>
                <c:pt idx="7">
                  <c:v>1194.44</c:v>
                </c:pt>
                <c:pt idx="8">
                  <c:v>1211.0297</c:v>
                </c:pt>
                <c:pt idx="9">
                  <c:v>1234.2542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Activity'!$D$4</c:f>
              <c:strCache>
                <c:ptCount val="1"/>
                <c:pt idx="0">
                  <c:v>Male,Worker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Activity'!$A$5:$A$14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Activity'!$D$5:$D$14</c:f>
              <c:numCache>
                <c:formatCode>0</c:formatCode>
                <c:ptCount val="10"/>
                <c:pt idx="0">
                  <c:v>979.1818</c:v>
                </c:pt>
                <c:pt idx="1">
                  <c:v>925.0776</c:v>
                </c:pt>
                <c:pt idx="2">
                  <c:v>897.4852</c:v>
                </c:pt>
                <c:pt idx="3">
                  <c:v>913.3218</c:v>
                </c:pt>
                <c:pt idx="4">
                  <c:v>922.6126</c:v>
                </c:pt>
                <c:pt idx="5">
                  <c:v>931.6706</c:v>
                </c:pt>
                <c:pt idx="6">
                  <c:v>917.9457</c:v>
                </c:pt>
                <c:pt idx="7">
                  <c:v>914.45</c:v>
                </c:pt>
                <c:pt idx="8">
                  <c:v>961.7539</c:v>
                </c:pt>
                <c:pt idx="9">
                  <c:v>973.1043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Activity'!$E$4</c:f>
              <c:strCache>
                <c:ptCount val="1"/>
                <c:pt idx="0">
                  <c:v>Female,Worker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Activity'!$A$5:$A$14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Activity'!$E$5:$E$14</c:f>
              <c:numCache>
                <c:formatCode>0</c:formatCode>
                <c:ptCount val="10"/>
                <c:pt idx="0">
                  <c:v>962.8098</c:v>
                </c:pt>
                <c:pt idx="1">
                  <c:v>935.8686</c:v>
                </c:pt>
                <c:pt idx="2">
                  <c:v>946.4901</c:v>
                </c:pt>
                <c:pt idx="3">
                  <c:v>983.5149</c:v>
                </c:pt>
                <c:pt idx="4">
                  <c:v>975.2988</c:v>
                </c:pt>
                <c:pt idx="5">
                  <c:v>961.5741</c:v>
                </c:pt>
                <c:pt idx="6">
                  <c:v>942.4528</c:v>
                </c:pt>
                <c:pt idx="7">
                  <c:v>989.1171</c:v>
                </c:pt>
                <c:pt idx="8">
                  <c:v>977.3796</c:v>
                </c:pt>
                <c:pt idx="9">
                  <c:v>1029.8222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329790"/>
        <c:axId val="31183531"/>
      </c:lineChart>
      <c:catAx>
        <c:axId val="283297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1183531"/>
        <c:crossesAt val="0"/>
        <c:auto val="1"/>
        <c:lblAlgn val="ctr"/>
        <c:lblOffset val="100"/>
        <c:noMultiLvlLbl val="0"/>
      </c:catAx>
      <c:valAx>
        <c:axId val="31183531"/>
        <c:scaling>
          <c:orientation val="minMax"/>
          <c:min val="80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8329790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10625293841091"/>
          <c:y val="0.88488822012037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Work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2219087917254"/>
          <c:y val="0.213049553907342"/>
          <c:w val="0.881053126469205"/>
          <c:h val="0.62700204235193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Activity'!$B$24</c:f>
              <c:strCache>
                <c:ptCount val="1"/>
                <c:pt idx="0">
                  <c:v>Male,Worker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5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Activity'!$A$25:$A$34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Activity'!$B$25:$B$34</c:f>
              <c:numCache>
                <c:formatCode>0</c:formatCode>
                <c:ptCount val="10"/>
                <c:pt idx="0">
                  <c:v>224.9545</c:v>
                </c:pt>
                <c:pt idx="1">
                  <c:v>317.1187</c:v>
                </c:pt>
                <c:pt idx="2">
                  <c:v>354.4868</c:v>
                </c:pt>
                <c:pt idx="3">
                  <c:v>344.578</c:v>
                </c:pt>
                <c:pt idx="4">
                  <c:v>349.1719</c:v>
                </c:pt>
                <c:pt idx="5">
                  <c:v>333.8729</c:v>
                </c:pt>
                <c:pt idx="6">
                  <c:v>342.2829</c:v>
                </c:pt>
                <c:pt idx="7">
                  <c:v>352.4038</c:v>
                </c:pt>
                <c:pt idx="8">
                  <c:v>335.9948</c:v>
                </c:pt>
                <c:pt idx="9">
                  <c:v>309.8435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Activity'!$C$24</c:f>
              <c:strCache>
                <c:ptCount val="1"/>
                <c:pt idx="0">
                  <c:v>Female,Worker</c:v>
                </c:pt>
              </c:strCache>
            </c:strRef>
          </c:tx>
          <c:spPr>
            <a:solidFill>
              <a:srgbClr val="69FFFF"/>
            </a:solidFill>
            <a:ln w="12600">
              <a:solidFill>
                <a:srgbClr val="69FFFF"/>
              </a:solidFill>
              <a:round/>
            </a:ln>
          </c:spPr>
          <c:marker>
            <c:symbol val="circle"/>
            <c:size val="5"/>
            <c:spPr>
              <a:solidFill>
                <a:srgbClr val="69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Activity'!$A$25:$A$34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Activity'!$C$25:$C$34</c:f>
              <c:numCache>
                <c:formatCode>0</c:formatCode>
                <c:ptCount val="10"/>
                <c:pt idx="0">
                  <c:v>243.5951</c:v>
                </c:pt>
                <c:pt idx="1">
                  <c:v>305.0681</c:v>
                </c:pt>
                <c:pt idx="2">
                  <c:v>304.4742</c:v>
                </c:pt>
                <c:pt idx="3">
                  <c:v>265.3021</c:v>
                </c:pt>
                <c:pt idx="4">
                  <c:v>286.5136</c:v>
                </c:pt>
                <c:pt idx="5">
                  <c:v>299.6038</c:v>
                </c:pt>
                <c:pt idx="6">
                  <c:v>321.8113</c:v>
                </c:pt>
                <c:pt idx="7">
                  <c:v>274.039</c:v>
                </c:pt>
                <c:pt idx="8">
                  <c:v>297.6131</c:v>
                </c:pt>
                <c:pt idx="9">
                  <c:v>271.0667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179312"/>
        <c:axId val="51343624"/>
      </c:lineChart>
      <c:catAx>
        <c:axId val="23179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1343624"/>
        <c:crossesAt val="0"/>
        <c:auto val="1"/>
        <c:lblAlgn val="ctr"/>
        <c:lblOffset val="100"/>
        <c:noMultiLvlLbl val="0"/>
      </c:catAx>
      <c:valAx>
        <c:axId val="51343624"/>
        <c:scaling>
          <c:orientation val="minMax"/>
          <c:min val="15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3179312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319605077574048"/>
          <c:y val="0.88487584650112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Shop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2219087917254"/>
          <c:y val="0.213026655202064"/>
          <c:w val="0.881053126469205"/>
          <c:h val="0.62704213241616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Activity'!$B$44</c:f>
              <c:strCache>
                <c:ptCount val="1"/>
                <c:pt idx="0">
                  <c:v>Male, NonWorker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diamond"/>
            <c:size val="9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Activity'!$A$45:$A$54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Activity'!$B$45:$B$54</c:f>
              <c:numCache>
                <c:formatCode>0</c:formatCode>
                <c:ptCount val="10"/>
                <c:pt idx="0">
                  <c:v>13.9667</c:v>
                </c:pt>
                <c:pt idx="1">
                  <c:v>23.2714</c:v>
                </c:pt>
                <c:pt idx="2">
                  <c:v>23.7105</c:v>
                </c:pt>
                <c:pt idx="8">
                  <c:v>26.0612</c:v>
                </c:pt>
                <c:pt idx="9">
                  <c:v>22.2347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Activity'!$C$44</c:f>
              <c:strCache>
                <c:ptCount val="1"/>
                <c:pt idx="0">
                  <c:v>Female,NonWorker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Activity'!$A$45:$A$54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Activity'!$C$45:$C$54</c:f>
              <c:numCache>
                <c:formatCode>0</c:formatCode>
                <c:ptCount val="10"/>
                <c:pt idx="0">
                  <c:v>37.3506</c:v>
                </c:pt>
                <c:pt idx="1">
                  <c:v>24.2252</c:v>
                </c:pt>
                <c:pt idx="2">
                  <c:v>37</c:v>
                </c:pt>
                <c:pt idx="3">
                  <c:v>35.5374</c:v>
                </c:pt>
                <c:pt idx="4">
                  <c:v>40.5735</c:v>
                </c:pt>
                <c:pt idx="5">
                  <c:v>25.625</c:v>
                </c:pt>
                <c:pt idx="6">
                  <c:v>46.9016</c:v>
                </c:pt>
                <c:pt idx="7">
                  <c:v>42.2267</c:v>
                </c:pt>
                <c:pt idx="8">
                  <c:v>42.495</c:v>
                </c:pt>
                <c:pt idx="9">
                  <c:v>27.5508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Activity'!$D$44</c:f>
              <c:strCache>
                <c:ptCount val="1"/>
                <c:pt idx="0">
                  <c:v>Male,Worker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Activity'!$A$45:$A$54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Activity'!$D$45:$D$54</c:f>
              <c:numCache>
                <c:formatCode>0</c:formatCode>
                <c:ptCount val="10"/>
                <c:pt idx="0">
                  <c:v>9.013</c:v>
                </c:pt>
                <c:pt idx="1">
                  <c:v>13.6689</c:v>
                </c:pt>
                <c:pt idx="2">
                  <c:v>13.6661</c:v>
                </c:pt>
                <c:pt idx="3">
                  <c:v>15.4335</c:v>
                </c:pt>
                <c:pt idx="4">
                  <c:v>13.6542</c:v>
                </c:pt>
                <c:pt idx="5">
                  <c:v>13.7012</c:v>
                </c:pt>
                <c:pt idx="6">
                  <c:v>11.2486</c:v>
                </c:pt>
                <c:pt idx="7">
                  <c:v>13.6731</c:v>
                </c:pt>
                <c:pt idx="8">
                  <c:v>18.7749</c:v>
                </c:pt>
                <c:pt idx="9">
                  <c:v>17.4435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Activity'!$E$44</c:f>
              <c:strCache>
                <c:ptCount val="1"/>
                <c:pt idx="0">
                  <c:v>Female,Worker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Activity'!$A$45:$A$54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Activity'!$E$45:$E$54</c:f>
              <c:numCache>
                <c:formatCode>0</c:formatCode>
                <c:ptCount val="10"/>
                <c:pt idx="0">
                  <c:v>22.3313</c:v>
                </c:pt>
                <c:pt idx="1">
                  <c:v>20.0852</c:v>
                </c:pt>
                <c:pt idx="2">
                  <c:v>22.5615</c:v>
                </c:pt>
                <c:pt idx="3">
                  <c:v>29.2234</c:v>
                </c:pt>
                <c:pt idx="4">
                  <c:v>25.4099</c:v>
                </c:pt>
                <c:pt idx="5">
                  <c:v>29.1509</c:v>
                </c:pt>
                <c:pt idx="6">
                  <c:v>27.9925</c:v>
                </c:pt>
                <c:pt idx="7">
                  <c:v>29.6488</c:v>
                </c:pt>
                <c:pt idx="8">
                  <c:v>24.2044</c:v>
                </c:pt>
                <c:pt idx="9">
                  <c:v>26.3222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846823"/>
        <c:axId val="13972915"/>
      </c:lineChart>
      <c:catAx>
        <c:axId val="32846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3972915"/>
        <c:crossesAt val="0"/>
        <c:auto val="1"/>
        <c:lblAlgn val="ctr"/>
        <c:lblOffset val="100"/>
        <c:noMultiLvlLbl val="0"/>
      </c:catAx>
      <c:valAx>
        <c:axId val="139729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32846823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993888105312647"/>
          <c:y val="0.88488822012037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Other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2219087917254"/>
          <c:y val="0.213026655202064"/>
          <c:w val="0.881053126469205"/>
          <c:h val="0.627042132416165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Activity'!$B$64</c:f>
              <c:strCache>
                <c:ptCount val="1"/>
                <c:pt idx="0">
                  <c:v>Male, NonWorker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diamond"/>
            <c:size val="9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Activity'!$A$65:$A$74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Activity'!$B$65:$B$74</c:f>
              <c:numCache>
                <c:formatCode>0</c:formatCode>
                <c:ptCount val="10"/>
                <c:pt idx="0">
                  <c:v>318.2</c:v>
                </c:pt>
                <c:pt idx="1">
                  <c:v>207.7714</c:v>
                </c:pt>
                <c:pt idx="2">
                  <c:v>196.6842</c:v>
                </c:pt>
                <c:pt idx="8">
                  <c:v>135.0816</c:v>
                </c:pt>
                <c:pt idx="9">
                  <c:v>130.6122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Activity'!$C$64</c:f>
              <c:strCache>
                <c:ptCount val="1"/>
                <c:pt idx="0">
                  <c:v>Female,NonWorker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Activity'!$A$65:$A$74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Activity'!$C$65:$C$74</c:f>
              <c:numCache>
                <c:formatCode>0</c:formatCode>
                <c:ptCount val="10"/>
                <c:pt idx="0">
                  <c:v>253.6494</c:v>
                </c:pt>
                <c:pt idx="1">
                  <c:v>215.5676</c:v>
                </c:pt>
                <c:pt idx="2">
                  <c:v>164.8462</c:v>
                </c:pt>
                <c:pt idx="3">
                  <c:v>144.7347</c:v>
                </c:pt>
                <c:pt idx="4">
                  <c:v>139.6618</c:v>
                </c:pt>
                <c:pt idx="5">
                  <c:v>154.3625</c:v>
                </c:pt>
                <c:pt idx="6">
                  <c:v>134.6393</c:v>
                </c:pt>
                <c:pt idx="7">
                  <c:v>131.9467</c:v>
                </c:pt>
                <c:pt idx="8">
                  <c:v>128.3663</c:v>
                </c:pt>
                <c:pt idx="9">
                  <c:v>124.1441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Activity'!$D$64</c:f>
              <c:strCache>
                <c:ptCount val="1"/>
                <c:pt idx="0">
                  <c:v>Male,Worker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Activity'!$A$65:$A$74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Activity'!$D$65:$D$74</c:f>
              <c:numCache>
                <c:formatCode>0</c:formatCode>
                <c:ptCount val="10"/>
                <c:pt idx="0">
                  <c:v>163.5909</c:v>
                </c:pt>
                <c:pt idx="1">
                  <c:v>118.5502</c:v>
                </c:pt>
                <c:pt idx="2">
                  <c:v>105.1974</c:v>
                </c:pt>
                <c:pt idx="3">
                  <c:v>96.4417</c:v>
                </c:pt>
                <c:pt idx="4">
                  <c:v>82.9822</c:v>
                </c:pt>
                <c:pt idx="5">
                  <c:v>91.5765</c:v>
                </c:pt>
                <c:pt idx="6">
                  <c:v>91.1429</c:v>
                </c:pt>
                <c:pt idx="7">
                  <c:v>91.6269</c:v>
                </c:pt>
                <c:pt idx="8">
                  <c:v>58.8848</c:v>
                </c:pt>
                <c:pt idx="9">
                  <c:v>74.2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Activity'!$E$64</c:f>
              <c:strCache>
                <c:ptCount val="1"/>
                <c:pt idx="0">
                  <c:v>Female,Worker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Activity'!$A$65:$A$74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Activity'!$E$65:$E$74</c:f>
              <c:numCache>
                <c:formatCode>0</c:formatCode>
                <c:ptCount val="10"/>
                <c:pt idx="0">
                  <c:v>146.8466</c:v>
                </c:pt>
                <c:pt idx="1">
                  <c:v>110.8418</c:v>
                </c:pt>
                <c:pt idx="2">
                  <c:v>104.0992</c:v>
                </c:pt>
                <c:pt idx="3">
                  <c:v>100.0277</c:v>
                </c:pt>
                <c:pt idx="4">
                  <c:v>92.1728</c:v>
                </c:pt>
                <c:pt idx="5">
                  <c:v>87.5714</c:v>
                </c:pt>
                <c:pt idx="6">
                  <c:v>84.7887</c:v>
                </c:pt>
                <c:pt idx="7">
                  <c:v>87.8829</c:v>
                </c:pt>
                <c:pt idx="8">
                  <c:v>80.6861</c:v>
                </c:pt>
                <c:pt idx="9">
                  <c:v>61.4444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6981569"/>
        <c:axId val="15073964"/>
      </c:lineChart>
      <c:catAx>
        <c:axId val="76981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15073964"/>
        <c:crossesAt val="0"/>
        <c:auto val="1"/>
        <c:lblAlgn val="ctr"/>
        <c:lblOffset val="100"/>
        <c:noMultiLvlLbl val="0"/>
      </c:catAx>
      <c:valAx>
        <c:axId val="150739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76981569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105030559473437"/>
          <c:y val="0.884888220120378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Time at Travel by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642219087917254"/>
          <c:y val="0.213049553907342"/>
          <c:w val="0.881053126469205"/>
          <c:h val="0.62700204235193"/>
        </c:manualLayout>
      </c:layout>
      <c:lineChart>
        <c:grouping val="standard"/>
        <c:varyColors val="0"/>
        <c:ser>
          <c:idx val="0"/>
          <c:order val="0"/>
          <c:tx>
            <c:strRef>
              <c:f>'by Activity'!$B$84</c:f>
              <c:strCache>
                <c:ptCount val="1"/>
                <c:pt idx="0">
                  <c:v>Male, NonWorker</c:v>
                </c:pt>
              </c:strCache>
            </c:strRef>
          </c:tx>
          <c:spPr>
            <a:solidFill>
              <a:srgbClr val="000080"/>
            </a:solidFill>
            <a:ln w="37800">
              <a:solidFill>
                <a:srgbClr val="000080"/>
              </a:solidFill>
              <a:round/>
            </a:ln>
          </c:spPr>
          <c:marker>
            <c:symbol val="diamond"/>
            <c:size val="9"/>
            <c:spPr>
              <a:solidFill>
                <a:srgbClr val="00008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Activity'!$A$85:$A$94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Activity'!$B$85:$B$94</c:f>
              <c:numCache>
                <c:formatCode>0</c:formatCode>
                <c:ptCount val="10"/>
                <c:pt idx="0">
                  <c:v>50.0833</c:v>
                </c:pt>
                <c:pt idx="1">
                  <c:v>57.5</c:v>
                </c:pt>
                <c:pt idx="2">
                  <c:v>56.7105</c:v>
                </c:pt>
                <c:pt idx="8">
                  <c:v>55.9796</c:v>
                </c:pt>
                <c:pt idx="9">
                  <c:v>55.1122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'by Activity'!$C$84</c:f>
              <c:strCache>
                <c:ptCount val="1"/>
                <c:pt idx="0">
                  <c:v>Female,NonWorker</c:v>
                </c:pt>
              </c:strCache>
            </c:strRef>
          </c:tx>
          <c:spPr>
            <a:solidFill>
              <a:srgbClr val="FF00FF"/>
            </a:solidFill>
            <a:ln w="12600">
              <a:solidFill>
                <a:srgbClr val="FF00FF"/>
              </a:solidFill>
              <a:round/>
            </a:ln>
          </c:spPr>
          <c:marker>
            <c:symbol val="square"/>
            <c:size val="5"/>
            <c:spPr>
              <a:solidFill>
                <a:srgbClr val="FF00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Activity'!$A$85:$A$94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Activity'!$C$85:$C$94</c:f>
              <c:numCache>
                <c:formatCode>0</c:formatCode>
                <c:ptCount val="10"/>
                <c:pt idx="0">
                  <c:v>77.0519</c:v>
                </c:pt>
                <c:pt idx="1">
                  <c:v>56.2252</c:v>
                </c:pt>
                <c:pt idx="2">
                  <c:v>55.8811</c:v>
                </c:pt>
                <c:pt idx="3">
                  <c:v>54.6259</c:v>
                </c:pt>
                <c:pt idx="4">
                  <c:v>59.7132</c:v>
                </c:pt>
                <c:pt idx="5">
                  <c:v>68.9125</c:v>
                </c:pt>
                <c:pt idx="6">
                  <c:v>68.8852</c:v>
                </c:pt>
                <c:pt idx="7">
                  <c:v>65.0133</c:v>
                </c:pt>
                <c:pt idx="8">
                  <c:v>55.0396</c:v>
                </c:pt>
                <c:pt idx="9">
                  <c:v>54.0508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'by Activity'!$D$84</c:f>
              <c:strCache>
                <c:ptCount val="1"/>
                <c:pt idx="0">
                  <c:v>Male,Worker</c:v>
                </c:pt>
              </c:strCache>
            </c:strRef>
          </c:tx>
          <c:spPr>
            <a:solidFill>
              <a:srgbClr val="FFFF00"/>
            </a:solidFill>
            <a:ln w="37800">
              <a:solidFill>
                <a:srgbClr val="FFFF00"/>
              </a:solidFill>
              <a:round/>
            </a:ln>
          </c:spPr>
          <c:marker>
            <c:symbol val="triangle"/>
            <c:size val="9"/>
            <c:spPr>
              <a:solidFill>
                <a:srgbClr val="FFF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7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Activity'!$A$85:$A$94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Activity'!$D$85:$D$94</c:f>
              <c:numCache>
                <c:formatCode>0</c:formatCode>
                <c:ptCount val="10"/>
                <c:pt idx="0">
                  <c:v>63.2597</c:v>
                </c:pt>
                <c:pt idx="1">
                  <c:v>65.5845</c:v>
                </c:pt>
                <c:pt idx="2">
                  <c:v>69.1645</c:v>
                </c:pt>
                <c:pt idx="3">
                  <c:v>70.225</c:v>
                </c:pt>
                <c:pt idx="4">
                  <c:v>71.5791</c:v>
                </c:pt>
                <c:pt idx="5">
                  <c:v>69.1788</c:v>
                </c:pt>
                <c:pt idx="6">
                  <c:v>77.38</c:v>
                </c:pt>
                <c:pt idx="7">
                  <c:v>67.8462</c:v>
                </c:pt>
                <c:pt idx="8">
                  <c:v>64.5916</c:v>
                </c:pt>
                <c:pt idx="9">
                  <c:v>65.4087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'by Activity'!$E$84</c:f>
              <c:strCache>
                <c:ptCount val="1"/>
                <c:pt idx="0">
                  <c:v>Female,Worker</c:v>
                </c:pt>
              </c:strCache>
            </c:strRef>
          </c:tx>
          <c:spPr>
            <a:solidFill>
              <a:srgbClr val="00FFFF"/>
            </a:solidFill>
            <a:ln w="12600">
              <a:solidFill>
                <a:srgbClr val="00FFFF"/>
              </a:solidFill>
              <a:round/>
            </a:ln>
          </c:spPr>
          <c:marker>
            <c:symbol val="x"/>
            <c:size val="5"/>
            <c:spPr>
              <a:solidFill>
                <a:srgbClr val="00FFFF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Activity'!$A$85:$A$94</c:f>
              <c:strCache>
                <c:ptCount val="10"/>
                <c:pt idx="0">
                  <c:v>18-20</c:v>
                </c:pt>
                <c:pt idx="1">
                  <c:v>21-25</c:v>
                </c:pt>
                <c:pt idx="2">
                  <c:v>26-30</c:v>
                </c:pt>
                <c:pt idx="3">
                  <c:v>31-35</c:v>
                </c:pt>
                <c:pt idx="4">
                  <c:v>36-40</c:v>
                </c:pt>
                <c:pt idx="5">
                  <c:v>41-45</c:v>
                </c:pt>
                <c:pt idx="6">
                  <c:v>46-50</c:v>
                </c:pt>
                <c:pt idx="7">
                  <c:v>51-55</c:v>
                </c:pt>
                <c:pt idx="8">
                  <c:v>56-60</c:v>
                </c:pt>
                <c:pt idx="9">
                  <c:v>61-65</c:v>
                </c:pt>
              </c:strCache>
            </c:strRef>
          </c:cat>
          <c:val>
            <c:numRef>
              <c:f>'by Activity'!$E$85:$E$94</c:f>
              <c:numCache>
                <c:formatCode>0</c:formatCode>
                <c:ptCount val="10"/>
                <c:pt idx="0">
                  <c:v>64.4172</c:v>
                </c:pt>
                <c:pt idx="1">
                  <c:v>68.1363</c:v>
                </c:pt>
                <c:pt idx="2">
                  <c:v>62.375</c:v>
                </c:pt>
                <c:pt idx="3">
                  <c:v>61.9319</c:v>
                </c:pt>
                <c:pt idx="4">
                  <c:v>60.6049</c:v>
                </c:pt>
                <c:pt idx="5">
                  <c:v>62.0997</c:v>
                </c:pt>
                <c:pt idx="6">
                  <c:v>62.9547</c:v>
                </c:pt>
                <c:pt idx="7">
                  <c:v>59.3122</c:v>
                </c:pt>
                <c:pt idx="8">
                  <c:v>60.1168</c:v>
                </c:pt>
                <c:pt idx="9">
                  <c:v>51.3444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91485"/>
        <c:axId val="47019285"/>
      </c:lineChart>
      <c:catAx>
        <c:axId val="8691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47019285"/>
        <c:crossesAt val="0"/>
        <c:auto val="1"/>
        <c:lblAlgn val="ctr"/>
        <c:lblOffset val="100"/>
        <c:noMultiLvlLbl val="0"/>
      </c:catAx>
      <c:valAx>
        <c:axId val="4701928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(in 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691485"/>
        <c:crossesAt val="1"/>
        <c:crossBetween val="midCat"/>
      </c:valAx>
      <c:spPr>
        <a:noFill/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0993888105312647"/>
          <c:y val="0.88487584650112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36000</xdr:colOff>
      <xdr:row>0</xdr:row>
      <xdr:rowOff>43560</xdr:rowOff>
    </xdr:from>
    <xdr:to>
      <xdr:col>13</xdr:col>
      <xdr:colOff>940680</xdr:colOff>
      <xdr:row>18</xdr:row>
      <xdr:rowOff>43560</xdr:rowOff>
    </xdr:to>
    <xdr:graphicFrame>
      <xdr:nvGraphicFramePr>
        <xdr:cNvPr id="1" name="Chart 1"/>
        <xdr:cNvGraphicFramePr/>
      </xdr:nvGraphicFramePr>
      <xdr:xfrm>
        <a:off x="5823360" y="43560"/>
        <a:ext cx="7656840" cy="334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36000</xdr:colOff>
      <xdr:row>20</xdr:row>
      <xdr:rowOff>43920</xdr:rowOff>
    </xdr:from>
    <xdr:to>
      <xdr:col>13</xdr:col>
      <xdr:colOff>940680</xdr:colOff>
      <xdr:row>38</xdr:row>
      <xdr:rowOff>43560</xdr:rowOff>
    </xdr:to>
    <xdr:graphicFrame>
      <xdr:nvGraphicFramePr>
        <xdr:cNvPr id="2" name="Chart 2"/>
        <xdr:cNvGraphicFramePr/>
      </xdr:nvGraphicFramePr>
      <xdr:xfrm>
        <a:off x="5823360" y="3764880"/>
        <a:ext cx="7656840" cy="334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36000</xdr:colOff>
      <xdr:row>40</xdr:row>
      <xdr:rowOff>43560</xdr:rowOff>
    </xdr:from>
    <xdr:to>
      <xdr:col>13</xdr:col>
      <xdr:colOff>940680</xdr:colOff>
      <xdr:row>58</xdr:row>
      <xdr:rowOff>43560</xdr:rowOff>
    </xdr:to>
    <xdr:graphicFrame>
      <xdr:nvGraphicFramePr>
        <xdr:cNvPr id="3" name="Chart 3"/>
        <xdr:cNvGraphicFramePr/>
      </xdr:nvGraphicFramePr>
      <xdr:xfrm>
        <a:off x="5823360" y="7485840"/>
        <a:ext cx="7656840" cy="334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36000</xdr:colOff>
      <xdr:row>60</xdr:row>
      <xdr:rowOff>43560</xdr:rowOff>
    </xdr:from>
    <xdr:to>
      <xdr:col>13</xdr:col>
      <xdr:colOff>940680</xdr:colOff>
      <xdr:row>78</xdr:row>
      <xdr:rowOff>43560</xdr:rowOff>
    </xdr:to>
    <xdr:graphicFrame>
      <xdr:nvGraphicFramePr>
        <xdr:cNvPr id="4" name="Chart 4"/>
        <xdr:cNvGraphicFramePr/>
      </xdr:nvGraphicFramePr>
      <xdr:xfrm>
        <a:off x="5823360" y="11206800"/>
        <a:ext cx="7656840" cy="334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36000</xdr:colOff>
      <xdr:row>80</xdr:row>
      <xdr:rowOff>43560</xdr:rowOff>
    </xdr:from>
    <xdr:to>
      <xdr:col>13</xdr:col>
      <xdr:colOff>940680</xdr:colOff>
      <xdr:row>98</xdr:row>
      <xdr:rowOff>43560</xdr:rowOff>
    </xdr:to>
    <xdr:graphicFrame>
      <xdr:nvGraphicFramePr>
        <xdr:cNvPr id="5" name="Chart 5"/>
        <xdr:cNvGraphicFramePr/>
      </xdr:nvGraphicFramePr>
      <xdr:xfrm>
        <a:off x="5823360" y="14928120"/>
        <a:ext cx="7656840" cy="334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1875" defaultRowHeight="14.65" customHeight="false" zeroHeight="false" outlineLevelRow="0" outlineLevelCol="0"/>
  <sheetData>
    <row r="2" customFormat="false" ht="14.6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</row>
    <row r="3" customFormat="false" ht="14.65" hidden="false" customHeight="false" outlineLevel="0" collapsed="false">
      <c r="B3" s="1" t="n">
        <v>1168.4203</v>
      </c>
      <c r="C3" s="1" t="n">
        <v>1179.1945</v>
      </c>
      <c r="D3" s="1" t="n">
        <v>923.2232</v>
      </c>
      <c r="E3" s="1" t="n">
        <v>963.8222</v>
      </c>
    </row>
    <row r="4" customFormat="false" ht="14.65" hidden="false" customHeight="false" outlineLevel="0" collapsed="false">
      <c r="A4" s="1" t="s">
        <v>5</v>
      </c>
      <c r="B4" s="0" t="s">
        <v>1</v>
      </c>
      <c r="C4" s="0" t="s">
        <v>2</v>
      </c>
      <c r="D4" s="0" t="s">
        <v>3</v>
      </c>
      <c r="E4" s="0" t="s">
        <v>4</v>
      </c>
    </row>
    <row r="5" customFormat="false" ht="14.65" hidden="false" customHeight="false" outlineLevel="0" collapsed="false">
      <c r="A5" s="1" t="s">
        <v>6</v>
      </c>
      <c r="B5" s="1" t="n">
        <v>1047</v>
      </c>
      <c r="C5" s="1" t="n">
        <v>1066.0779</v>
      </c>
      <c r="D5" s="1" t="n">
        <v>979.1818</v>
      </c>
      <c r="E5" s="1" t="n">
        <v>962.8098</v>
      </c>
    </row>
    <row r="6" customFormat="false" ht="14.65" hidden="false" customHeight="false" outlineLevel="0" collapsed="false">
      <c r="A6" s="1" t="s">
        <v>7</v>
      </c>
      <c r="B6" s="1" t="n">
        <v>1128.6571</v>
      </c>
      <c r="C6" s="1" t="n">
        <v>1136.7748</v>
      </c>
      <c r="D6" s="1" t="n">
        <v>925.0776</v>
      </c>
      <c r="E6" s="1" t="n">
        <v>935.8686</v>
      </c>
    </row>
    <row r="7" customFormat="false" ht="14.65" hidden="false" customHeight="false" outlineLevel="0" collapsed="false">
      <c r="A7" s="1" t="s">
        <v>8</v>
      </c>
      <c r="B7" s="1" t="n">
        <v>1140.5789</v>
      </c>
      <c r="C7" s="1" t="n">
        <v>1154.979</v>
      </c>
      <c r="D7" s="1" t="n">
        <v>897.4852</v>
      </c>
      <c r="E7" s="1" t="n">
        <v>946.4901</v>
      </c>
    </row>
    <row r="8" customFormat="false" ht="14.65" hidden="false" customHeight="false" outlineLevel="0" collapsed="false">
      <c r="A8" s="1" t="s">
        <v>9</v>
      </c>
      <c r="C8" s="1" t="n">
        <v>1199.5918</v>
      </c>
      <c r="D8" s="1" t="n">
        <v>913.3218</v>
      </c>
      <c r="E8" s="1" t="n">
        <v>983.5149</v>
      </c>
    </row>
    <row r="9" customFormat="false" ht="14.65" hidden="false" customHeight="false" outlineLevel="0" collapsed="false">
      <c r="A9" s="1" t="s">
        <v>10</v>
      </c>
      <c r="C9" s="1" t="n">
        <v>1199.4265</v>
      </c>
      <c r="D9" s="1" t="n">
        <v>922.6126</v>
      </c>
      <c r="E9" s="1" t="n">
        <v>975.2988</v>
      </c>
    </row>
    <row r="10" customFormat="false" ht="14.65" hidden="false" customHeight="false" outlineLevel="0" collapsed="false">
      <c r="A10" s="1" t="s">
        <v>11</v>
      </c>
      <c r="C10" s="1" t="n">
        <v>1175.475</v>
      </c>
      <c r="D10" s="1" t="n">
        <v>931.6706</v>
      </c>
      <c r="E10" s="1" t="n">
        <v>961.5741</v>
      </c>
    </row>
    <row r="11" customFormat="false" ht="14.65" hidden="false" customHeight="false" outlineLevel="0" collapsed="false">
      <c r="A11" s="1" t="s">
        <v>12</v>
      </c>
      <c r="C11" s="1" t="n">
        <v>1188.5902</v>
      </c>
      <c r="D11" s="1" t="n">
        <v>917.9457</v>
      </c>
      <c r="E11" s="1" t="n">
        <v>942.4528</v>
      </c>
    </row>
    <row r="12" customFormat="false" ht="14.65" hidden="false" customHeight="false" outlineLevel="0" collapsed="false">
      <c r="A12" s="1" t="s">
        <v>13</v>
      </c>
      <c r="C12" s="1" t="n">
        <v>1194.44</v>
      </c>
      <c r="D12" s="1" t="n">
        <v>914.45</v>
      </c>
      <c r="E12" s="1" t="n">
        <v>989.1171</v>
      </c>
    </row>
    <row r="13" customFormat="false" ht="14.65" hidden="false" customHeight="false" outlineLevel="0" collapsed="false">
      <c r="A13" s="1" t="s">
        <v>14</v>
      </c>
      <c r="B13" s="1" t="n">
        <v>1206.6531</v>
      </c>
      <c r="C13" s="1" t="n">
        <v>1211.0297</v>
      </c>
      <c r="D13" s="1" t="n">
        <v>961.7539</v>
      </c>
      <c r="E13" s="1" t="n">
        <v>977.3796</v>
      </c>
    </row>
    <row r="14" customFormat="false" ht="14.65" hidden="false" customHeight="false" outlineLevel="0" collapsed="false">
      <c r="A14" s="1" t="s">
        <v>15</v>
      </c>
      <c r="B14" s="1" t="n">
        <v>1225.2041</v>
      </c>
      <c r="C14" s="1" t="n">
        <v>1234.2542</v>
      </c>
      <c r="D14" s="1" t="n">
        <v>973.1043</v>
      </c>
      <c r="E14" s="1" t="n">
        <v>1029.8222</v>
      </c>
    </row>
    <row r="22" customFormat="false" ht="14.65" hidden="false" customHeight="false" outlineLevel="0" collapsed="false">
      <c r="A22" s="0" t="s">
        <v>16</v>
      </c>
      <c r="B22" s="0" t="s">
        <v>3</v>
      </c>
      <c r="C22" s="0" t="s">
        <v>4</v>
      </c>
    </row>
    <row r="23" customFormat="false" ht="14.65" hidden="false" customHeight="false" outlineLevel="0" collapsed="false">
      <c r="B23" s="1" t="n">
        <v>336.0845</v>
      </c>
      <c r="C23" s="1" t="n">
        <v>290.3191</v>
      </c>
    </row>
    <row r="24" customFormat="false" ht="14.65" hidden="false" customHeight="false" outlineLevel="0" collapsed="false">
      <c r="A24" s="1" t="s">
        <v>5</v>
      </c>
      <c r="B24" s="0" t="s">
        <v>3</v>
      </c>
      <c r="C24" s="0" t="s">
        <v>4</v>
      </c>
    </row>
    <row r="25" customFormat="false" ht="14.65" hidden="false" customHeight="false" outlineLevel="0" collapsed="false">
      <c r="A25" s="1" t="s">
        <v>6</v>
      </c>
      <c r="B25" s="1" t="n">
        <v>224.9545</v>
      </c>
      <c r="C25" s="1" t="n">
        <v>243.5951</v>
      </c>
    </row>
    <row r="26" customFormat="false" ht="14.65" hidden="false" customHeight="false" outlineLevel="0" collapsed="false">
      <c r="A26" s="1" t="s">
        <v>7</v>
      </c>
      <c r="B26" s="1" t="n">
        <v>317.1187</v>
      </c>
      <c r="C26" s="1" t="n">
        <v>305.0681</v>
      </c>
    </row>
    <row r="27" customFormat="false" ht="14.65" hidden="false" customHeight="false" outlineLevel="0" collapsed="false">
      <c r="A27" s="1" t="s">
        <v>8</v>
      </c>
      <c r="B27" s="1" t="n">
        <v>354.4868</v>
      </c>
      <c r="C27" s="1" t="n">
        <v>304.4742</v>
      </c>
    </row>
    <row r="28" customFormat="false" ht="14.65" hidden="false" customHeight="false" outlineLevel="0" collapsed="false">
      <c r="A28" s="1" t="s">
        <v>9</v>
      </c>
      <c r="B28" s="1" t="n">
        <v>344.578</v>
      </c>
      <c r="C28" s="1" t="n">
        <v>265.3021</v>
      </c>
    </row>
    <row r="29" customFormat="false" ht="14.65" hidden="false" customHeight="false" outlineLevel="0" collapsed="false">
      <c r="A29" s="1" t="s">
        <v>10</v>
      </c>
      <c r="B29" s="1" t="n">
        <v>349.1719</v>
      </c>
      <c r="C29" s="1" t="n">
        <v>286.5136</v>
      </c>
    </row>
    <row r="30" customFormat="false" ht="14.65" hidden="false" customHeight="false" outlineLevel="0" collapsed="false">
      <c r="A30" s="1" t="s">
        <v>11</v>
      </c>
      <c r="B30" s="1" t="n">
        <v>333.8729</v>
      </c>
      <c r="C30" s="1" t="n">
        <v>299.6038</v>
      </c>
    </row>
    <row r="31" customFormat="false" ht="14.65" hidden="false" customHeight="false" outlineLevel="0" collapsed="false">
      <c r="A31" s="1" t="s">
        <v>12</v>
      </c>
      <c r="B31" s="1" t="n">
        <v>342.2829</v>
      </c>
      <c r="C31" s="1" t="n">
        <v>321.8113</v>
      </c>
    </row>
    <row r="32" customFormat="false" ht="14.65" hidden="false" customHeight="false" outlineLevel="0" collapsed="false">
      <c r="A32" s="1" t="s">
        <v>13</v>
      </c>
      <c r="B32" s="1" t="n">
        <v>352.4038</v>
      </c>
      <c r="C32" s="1" t="n">
        <v>274.039</v>
      </c>
    </row>
    <row r="33" customFormat="false" ht="14.65" hidden="false" customHeight="false" outlineLevel="0" collapsed="false">
      <c r="A33" s="1" t="s">
        <v>14</v>
      </c>
      <c r="B33" s="1" t="n">
        <v>335.9948</v>
      </c>
      <c r="C33" s="1" t="n">
        <v>297.6131</v>
      </c>
    </row>
    <row r="34" customFormat="false" ht="14.65" hidden="false" customHeight="false" outlineLevel="0" collapsed="false">
      <c r="A34" s="1" t="s">
        <v>15</v>
      </c>
      <c r="B34" s="1" t="n">
        <v>309.8435</v>
      </c>
      <c r="C34" s="1" t="n">
        <v>271.0667</v>
      </c>
    </row>
    <row r="42" customFormat="false" ht="14.65" hidden="false" customHeight="false" outlineLevel="0" collapsed="false">
      <c r="A42" s="1" t="s">
        <v>17</v>
      </c>
      <c r="B42" s="0" t="s">
        <v>1</v>
      </c>
      <c r="C42" s="0" t="s">
        <v>2</v>
      </c>
      <c r="D42" s="0" t="s">
        <v>3</v>
      </c>
      <c r="E42" s="0" t="s">
        <v>4</v>
      </c>
    </row>
    <row r="43" customFormat="false" ht="14.65" hidden="false" customHeight="false" outlineLevel="0" collapsed="false">
      <c r="B43" s="1" t="n">
        <v>19.1848</v>
      </c>
      <c r="C43" s="1" t="n">
        <v>35.4805</v>
      </c>
      <c r="D43" s="1" t="n">
        <v>13.922</v>
      </c>
      <c r="E43" s="1" t="n">
        <v>25.5836</v>
      </c>
    </row>
    <row r="44" customFormat="false" ht="14.65" hidden="false" customHeight="false" outlineLevel="0" collapsed="false">
      <c r="A44" s="1" t="s">
        <v>5</v>
      </c>
      <c r="B44" s="0" t="s">
        <v>1</v>
      </c>
      <c r="C44" s="0" t="s">
        <v>2</v>
      </c>
      <c r="D44" s="0" t="s">
        <v>3</v>
      </c>
      <c r="E44" s="0" t="s">
        <v>4</v>
      </c>
    </row>
    <row r="45" customFormat="false" ht="14.65" hidden="false" customHeight="false" outlineLevel="0" collapsed="false">
      <c r="A45" s="1" t="s">
        <v>6</v>
      </c>
      <c r="B45" s="1" t="n">
        <v>13.9667</v>
      </c>
      <c r="C45" s="1" t="n">
        <v>37.3506</v>
      </c>
      <c r="D45" s="1" t="n">
        <v>9.013</v>
      </c>
      <c r="E45" s="1" t="n">
        <v>22.3313</v>
      </c>
    </row>
    <row r="46" customFormat="false" ht="14.65" hidden="false" customHeight="false" outlineLevel="0" collapsed="false">
      <c r="A46" s="1" t="s">
        <v>7</v>
      </c>
      <c r="B46" s="1" t="n">
        <v>23.2714</v>
      </c>
      <c r="C46" s="1" t="n">
        <v>24.2252</v>
      </c>
      <c r="D46" s="1" t="n">
        <v>13.6689</v>
      </c>
      <c r="E46" s="1" t="n">
        <v>20.0852</v>
      </c>
    </row>
    <row r="47" customFormat="false" ht="14.65" hidden="false" customHeight="false" outlineLevel="0" collapsed="false">
      <c r="A47" s="1" t="s">
        <v>8</v>
      </c>
      <c r="B47" s="1" t="n">
        <v>23.7105</v>
      </c>
      <c r="C47" s="1" t="n">
        <v>37</v>
      </c>
      <c r="D47" s="1" t="n">
        <v>13.6661</v>
      </c>
      <c r="E47" s="1" t="n">
        <v>22.5615</v>
      </c>
    </row>
    <row r="48" customFormat="false" ht="14.65" hidden="false" customHeight="false" outlineLevel="0" collapsed="false">
      <c r="A48" s="1" t="s">
        <v>9</v>
      </c>
      <c r="C48" s="1" t="n">
        <v>35.5374</v>
      </c>
      <c r="D48" s="1" t="n">
        <v>15.4335</v>
      </c>
      <c r="E48" s="1" t="n">
        <v>29.2234</v>
      </c>
    </row>
    <row r="49" customFormat="false" ht="14.65" hidden="false" customHeight="false" outlineLevel="0" collapsed="false">
      <c r="A49" s="1" t="s">
        <v>10</v>
      </c>
      <c r="C49" s="1" t="n">
        <v>40.5735</v>
      </c>
      <c r="D49" s="1" t="n">
        <v>13.6542</v>
      </c>
      <c r="E49" s="1" t="n">
        <v>25.4099</v>
      </c>
    </row>
    <row r="50" customFormat="false" ht="14.65" hidden="false" customHeight="false" outlineLevel="0" collapsed="false">
      <c r="A50" s="1" t="s">
        <v>11</v>
      </c>
      <c r="C50" s="1" t="n">
        <v>25.625</v>
      </c>
      <c r="D50" s="1" t="n">
        <v>13.7012</v>
      </c>
      <c r="E50" s="1" t="n">
        <v>29.1509</v>
      </c>
    </row>
    <row r="51" customFormat="false" ht="14.65" hidden="false" customHeight="false" outlineLevel="0" collapsed="false">
      <c r="A51" s="1" t="s">
        <v>12</v>
      </c>
      <c r="C51" s="1" t="n">
        <v>46.9016</v>
      </c>
      <c r="D51" s="1" t="n">
        <v>11.2486</v>
      </c>
      <c r="E51" s="1" t="n">
        <v>27.9925</v>
      </c>
    </row>
    <row r="52" customFormat="false" ht="14.65" hidden="false" customHeight="false" outlineLevel="0" collapsed="false">
      <c r="A52" s="1" t="s">
        <v>13</v>
      </c>
      <c r="C52" s="1" t="n">
        <v>42.2267</v>
      </c>
      <c r="D52" s="1" t="n">
        <v>13.6731</v>
      </c>
      <c r="E52" s="1" t="n">
        <v>29.6488</v>
      </c>
    </row>
    <row r="53" customFormat="false" ht="14.65" hidden="false" customHeight="false" outlineLevel="0" collapsed="false">
      <c r="A53" s="1" t="s">
        <v>14</v>
      </c>
      <c r="B53" s="1" t="n">
        <v>26.0612</v>
      </c>
      <c r="C53" s="1" t="n">
        <v>42.495</v>
      </c>
      <c r="D53" s="1" t="n">
        <v>18.7749</v>
      </c>
      <c r="E53" s="1" t="n">
        <v>24.2044</v>
      </c>
    </row>
    <row r="54" customFormat="false" ht="14.65" hidden="false" customHeight="false" outlineLevel="0" collapsed="false">
      <c r="A54" s="1" t="s">
        <v>15</v>
      </c>
      <c r="B54" s="1" t="n">
        <v>22.2347</v>
      </c>
      <c r="C54" s="1" t="n">
        <v>27.5508</v>
      </c>
      <c r="D54" s="1" t="n">
        <v>17.4435</v>
      </c>
      <c r="E54" s="1" t="n">
        <v>26.3222</v>
      </c>
    </row>
    <row r="60" customFormat="false" ht="14.65" hidden="false" customHeight="false" outlineLevel="0" collapsed="false">
      <c r="B60" s="1"/>
    </row>
    <row r="61" customFormat="false" ht="14.65" hidden="false" customHeight="false" outlineLevel="0" collapsed="false">
      <c r="B61" s="1"/>
    </row>
    <row r="62" customFormat="false" ht="14.65" hidden="false" customHeight="false" outlineLevel="0" collapsed="false">
      <c r="A62" s="1" t="s">
        <v>18</v>
      </c>
      <c r="B62" s="0" t="s">
        <v>1</v>
      </c>
      <c r="C62" s="0" t="s">
        <v>2</v>
      </c>
      <c r="D62" s="0" t="s">
        <v>3</v>
      </c>
      <c r="E62" s="0" t="s">
        <v>4</v>
      </c>
    </row>
    <row r="63" customFormat="false" ht="14.65" hidden="false" customHeight="false" outlineLevel="0" collapsed="false">
      <c r="B63" s="1" t="n">
        <v>183.0462</v>
      </c>
      <c r="C63" s="1" t="n">
        <v>157.6492</v>
      </c>
      <c r="D63" s="1" t="n">
        <v>97.4352</v>
      </c>
      <c r="E63" s="1" t="n">
        <v>97.9341</v>
      </c>
    </row>
    <row r="64" customFormat="false" ht="14.65" hidden="false" customHeight="false" outlineLevel="0" collapsed="false">
      <c r="A64" s="1" t="s">
        <v>5</v>
      </c>
      <c r="B64" s="0" t="s">
        <v>1</v>
      </c>
      <c r="C64" s="0" t="s">
        <v>2</v>
      </c>
      <c r="D64" s="0" t="s">
        <v>3</v>
      </c>
      <c r="E64" s="0" t="s">
        <v>4</v>
      </c>
    </row>
    <row r="65" customFormat="false" ht="14.65" hidden="false" customHeight="false" outlineLevel="0" collapsed="false">
      <c r="A65" s="1" t="s">
        <v>6</v>
      </c>
      <c r="B65" s="1" t="n">
        <v>318.2</v>
      </c>
      <c r="C65" s="1" t="n">
        <v>253.6494</v>
      </c>
      <c r="D65" s="1" t="n">
        <v>163.5909</v>
      </c>
      <c r="E65" s="1" t="n">
        <v>146.8466</v>
      </c>
    </row>
    <row r="66" customFormat="false" ht="14.65" hidden="false" customHeight="false" outlineLevel="0" collapsed="false">
      <c r="A66" s="1" t="s">
        <v>7</v>
      </c>
      <c r="B66" s="1" t="n">
        <v>207.7714</v>
      </c>
      <c r="C66" s="1" t="n">
        <v>215.5676</v>
      </c>
      <c r="D66" s="1" t="n">
        <v>118.5502</v>
      </c>
      <c r="E66" s="1" t="n">
        <v>110.8418</v>
      </c>
    </row>
    <row r="67" customFormat="false" ht="14.65" hidden="false" customHeight="false" outlineLevel="0" collapsed="false">
      <c r="A67" s="1" t="s">
        <v>8</v>
      </c>
      <c r="B67" s="1" t="n">
        <v>196.6842</v>
      </c>
      <c r="C67" s="1" t="n">
        <v>164.8462</v>
      </c>
      <c r="D67" s="1" t="n">
        <v>105.1974</v>
      </c>
      <c r="E67" s="1" t="n">
        <v>104.0992</v>
      </c>
    </row>
    <row r="68" customFormat="false" ht="14.65" hidden="false" customHeight="false" outlineLevel="0" collapsed="false">
      <c r="A68" s="1" t="s">
        <v>9</v>
      </c>
      <c r="C68" s="1" t="n">
        <v>144.7347</v>
      </c>
      <c r="D68" s="1" t="n">
        <v>96.4417</v>
      </c>
      <c r="E68" s="1" t="n">
        <v>100.0277</v>
      </c>
    </row>
    <row r="69" customFormat="false" ht="14.65" hidden="false" customHeight="false" outlineLevel="0" collapsed="false">
      <c r="A69" s="1" t="s">
        <v>10</v>
      </c>
      <c r="C69" s="1" t="n">
        <v>139.6618</v>
      </c>
      <c r="D69" s="1" t="n">
        <v>82.9822</v>
      </c>
      <c r="E69" s="1" t="n">
        <v>92.1728</v>
      </c>
    </row>
    <row r="70" customFormat="false" ht="14.65" hidden="false" customHeight="false" outlineLevel="0" collapsed="false">
      <c r="A70" s="1" t="s">
        <v>11</v>
      </c>
      <c r="C70" s="1" t="n">
        <v>154.3625</v>
      </c>
      <c r="D70" s="1" t="n">
        <v>91.5765</v>
      </c>
      <c r="E70" s="1" t="n">
        <v>87.5714</v>
      </c>
    </row>
    <row r="71" customFormat="false" ht="14.65" hidden="false" customHeight="false" outlineLevel="0" collapsed="false">
      <c r="A71" s="1" t="s">
        <v>12</v>
      </c>
      <c r="C71" s="1" t="n">
        <v>134.6393</v>
      </c>
      <c r="D71" s="1" t="n">
        <v>91.1429</v>
      </c>
      <c r="E71" s="1" t="n">
        <v>84.7887</v>
      </c>
    </row>
    <row r="72" customFormat="false" ht="14.65" hidden="false" customHeight="false" outlineLevel="0" collapsed="false">
      <c r="A72" s="1" t="s">
        <v>13</v>
      </c>
      <c r="C72" s="1" t="n">
        <v>131.9467</v>
      </c>
      <c r="D72" s="1" t="n">
        <v>91.6269</v>
      </c>
      <c r="E72" s="1" t="n">
        <v>87.8829</v>
      </c>
    </row>
    <row r="73" customFormat="false" ht="14.65" hidden="false" customHeight="false" outlineLevel="0" collapsed="false">
      <c r="A73" s="1" t="s">
        <v>14</v>
      </c>
      <c r="B73" s="1" t="n">
        <v>135.0816</v>
      </c>
      <c r="C73" s="1" t="n">
        <v>128.3663</v>
      </c>
      <c r="D73" s="1" t="n">
        <v>58.8848</v>
      </c>
      <c r="E73" s="1" t="n">
        <v>80.6861</v>
      </c>
    </row>
    <row r="74" customFormat="false" ht="14.65" hidden="false" customHeight="false" outlineLevel="0" collapsed="false">
      <c r="A74" s="1" t="s">
        <v>15</v>
      </c>
      <c r="B74" s="1" t="n">
        <v>130.6122</v>
      </c>
      <c r="C74" s="1" t="n">
        <v>124.1441</v>
      </c>
      <c r="D74" s="1" t="n">
        <v>74.2</v>
      </c>
      <c r="E74" s="1" t="n">
        <v>61.4444</v>
      </c>
    </row>
    <row r="82" customFormat="false" ht="14.65" hidden="false" customHeight="false" outlineLevel="0" collapsed="false">
      <c r="A82" s="1" t="s">
        <v>19</v>
      </c>
      <c r="B82" s="0" t="s">
        <v>1</v>
      </c>
      <c r="C82" s="0" t="s">
        <v>2</v>
      </c>
      <c r="D82" s="0" t="s">
        <v>3</v>
      </c>
      <c r="E82" s="0" t="s">
        <v>4</v>
      </c>
    </row>
    <row r="83" customFormat="false" ht="14.65" hidden="false" customHeight="false" outlineLevel="0" collapsed="false">
      <c r="B83" s="1" t="n">
        <v>56.0139</v>
      </c>
      <c r="C83" s="1" t="n">
        <v>59.9085</v>
      </c>
      <c r="D83" s="1" t="n">
        <v>69.3351</v>
      </c>
      <c r="E83" s="1" t="n">
        <v>62.3409</v>
      </c>
    </row>
    <row r="84" customFormat="false" ht="14.65" hidden="false" customHeight="false" outlineLevel="0" collapsed="false">
      <c r="A84" s="1" t="s">
        <v>5</v>
      </c>
      <c r="B84" s="0" t="s">
        <v>1</v>
      </c>
      <c r="C84" s="0" t="s">
        <v>2</v>
      </c>
      <c r="D84" s="0" t="s">
        <v>3</v>
      </c>
      <c r="E84" s="0" t="s">
        <v>4</v>
      </c>
    </row>
    <row r="85" customFormat="false" ht="14.65" hidden="false" customHeight="false" outlineLevel="0" collapsed="false">
      <c r="A85" s="1" t="s">
        <v>6</v>
      </c>
      <c r="B85" s="1" t="n">
        <v>50.0833</v>
      </c>
      <c r="C85" s="1" t="n">
        <v>77.0519</v>
      </c>
      <c r="D85" s="1" t="n">
        <v>63.2597</v>
      </c>
      <c r="E85" s="1" t="n">
        <v>64.4172</v>
      </c>
    </row>
    <row r="86" customFormat="false" ht="14.65" hidden="false" customHeight="false" outlineLevel="0" collapsed="false">
      <c r="A86" s="1" t="s">
        <v>7</v>
      </c>
      <c r="B86" s="1" t="n">
        <v>57.5</v>
      </c>
      <c r="C86" s="1" t="n">
        <v>56.2252</v>
      </c>
      <c r="D86" s="1" t="n">
        <v>65.5845</v>
      </c>
      <c r="E86" s="1" t="n">
        <v>68.1363</v>
      </c>
    </row>
    <row r="87" customFormat="false" ht="14.65" hidden="false" customHeight="false" outlineLevel="0" collapsed="false">
      <c r="A87" s="1" t="s">
        <v>8</v>
      </c>
      <c r="B87" s="1" t="n">
        <v>56.7105</v>
      </c>
      <c r="C87" s="1" t="n">
        <v>55.8811</v>
      </c>
      <c r="D87" s="1" t="n">
        <v>69.1645</v>
      </c>
      <c r="E87" s="1" t="n">
        <v>62.375</v>
      </c>
    </row>
    <row r="88" customFormat="false" ht="14.65" hidden="false" customHeight="false" outlineLevel="0" collapsed="false">
      <c r="A88" s="1" t="s">
        <v>9</v>
      </c>
      <c r="C88" s="1" t="n">
        <v>54.6259</v>
      </c>
      <c r="D88" s="1" t="n">
        <v>70.225</v>
      </c>
      <c r="E88" s="1" t="n">
        <v>61.9319</v>
      </c>
    </row>
    <row r="89" customFormat="false" ht="14.65" hidden="false" customHeight="false" outlineLevel="0" collapsed="false">
      <c r="A89" s="1" t="s">
        <v>10</v>
      </c>
      <c r="C89" s="1" t="n">
        <v>59.7132</v>
      </c>
      <c r="D89" s="1" t="n">
        <v>71.5791</v>
      </c>
      <c r="E89" s="1" t="n">
        <v>60.6049</v>
      </c>
    </row>
    <row r="90" customFormat="false" ht="14.65" hidden="false" customHeight="false" outlineLevel="0" collapsed="false">
      <c r="A90" s="1" t="s">
        <v>11</v>
      </c>
      <c r="C90" s="1" t="n">
        <v>68.9125</v>
      </c>
      <c r="D90" s="1" t="n">
        <v>69.1788</v>
      </c>
      <c r="E90" s="1" t="n">
        <v>62.0997</v>
      </c>
    </row>
    <row r="91" customFormat="false" ht="14.65" hidden="false" customHeight="false" outlineLevel="0" collapsed="false">
      <c r="A91" s="1" t="s">
        <v>12</v>
      </c>
      <c r="C91" s="1" t="n">
        <v>68.8852</v>
      </c>
      <c r="D91" s="1" t="n">
        <v>77.38</v>
      </c>
      <c r="E91" s="1" t="n">
        <v>62.9547</v>
      </c>
    </row>
    <row r="92" customFormat="false" ht="14.65" hidden="false" customHeight="false" outlineLevel="0" collapsed="false">
      <c r="A92" s="1" t="s">
        <v>13</v>
      </c>
      <c r="C92" s="1" t="n">
        <v>65.0133</v>
      </c>
      <c r="D92" s="1" t="n">
        <v>67.8462</v>
      </c>
      <c r="E92" s="1" t="n">
        <v>59.3122</v>
      </c>
    </row>
    <row r="93" customFormat="false" ht="14.65" hidden="false" customHeight="false" outlineLevel="0" collapsed="false">
      <c r="A93" s="1" t="s">
        <v>14</v>
      </c>
      <c r="B93" s="1" t="n">
        <v>55.9796</v>
      </c>
      <c r="C93" s="1" t="n">
        <v>55.0396</v>
      </c>
      <c r="D93" s="1" t="n">
        <v>64.5916</v>
      </c>
      <c r="E93" s="1" t="n">
        <v>60.1168</v>
      </c>
    </row>
    <row r="94" customFormat="false" ht="14.65" hidden="false" customHeight="false" outlineLevel="0" collapsed="false">
      <c r="A94" s="1" t="s">
        <v>15</v>
      </c>
      <c r="B94" s="1" t="n">
        <v>55.1122</v>
      </c>
      <c r="C94" s="1" t="n">
        <v>54.0508</v>
      </c>
      <c r="D94" s="1" t="n">
        <v>65.4087</v>
      </c>
      <c r="E94" s="1" t="n">
        <v>51.3444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 E21"/>
    </sheetView>
  </sheetViews>
  <sheetFormatPr defaultColWidth="11.421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1" t="s">
        <v>0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20</v>
      </c>
      <c r="R1" s="1"/>
      <c r="S1" s="1"/>
      <c r="T1" s="1"/>
      <c r="U1" s="1"/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4.65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/>
      <c r="G2" s="1" t="s">
        <v>23</v>
      </c>
      <c r="H2" s="1" t="s">
        <v>24</v>
      </c>
      <c r="I2" s="1" t="s">
        <v>25</v>
      </c>
      <c r="J2" s="1"/>
      <c r="K2" s="1"/>
      <c r="L2" s="1" t="s">
        <v>23</v>
      </c>
      <c r="M2" s="1" t="s">
        <v>24</v>
      </c>
      <c r="N2" s="1" t="s">
        <v>25</v>
      </c>
      <c r="O2" s="1"/>
      <c r="P2" s="1"/>
      <c r="Q2" s="1" t="s">
        <v>23</v>
      </c>
      <c r="R2" s="1" t="s">
        <v>24</v>
      </c>
      <c r="S2" s="1" t="s">
        <v>25</v>
      </c>
      <c r="T2" s="1"/>
      <c r="U2" s="1"/>
      <c r="V2" s="1" t="s">
        <v>23</v>
      </c>
      <c r="W2" s="1" t="s">
        <v>24</v>
      </c>
      <c r="X2" s="1" t="s">
        <v>25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14.6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4.65" hidden="false" customHeight="false" outlineLevel="0" collapsed="false">
      <c r="A4" s="1" t="s">
        <v>5</v>
      </c>
      <c r="B4" s="1" t="n">
        <v>1168.4203</v>
      </c>
      <c r="C4" s="1" t="n">
        <v>225.7907</v>
      </c>
      <c r="D4" s="1" t="n">
        <v>433</v>
      </c>
      <c r="E4" s="1"/>
      <c r="F4" s="1"/>
      <c r="G4" s="1" t="n">
        <v>13.3349</v>
      </c>
      <c r="H4" s="1" t="n">
        <v>79.8819</v>
      </c>
      <c r="I4" s="1" t="n">
        <v>433</v>
      </c>
      <c r="J4" s="1"/>
      <c r="K4" s="1"/>
      <c r="L4" s="1" t="n">
        <v>19.1848</v>
      </c>
      <c r="M4" s="1" t="n">
        <v>41.7914</v>
      </c>
      <c r="N4" s="1" t="n">
        <v>433</v>
      </c>
      <c r="O4" s="1"/>
      <c r="P4" s="1"/>
      <c r="Q4" s="1" t="n">
        <v>183.0462</v>
      </c>
      <c r="R4" s="1" t="n">
        <v>205.5784</v>
      </c>
      <c r="S4" s="1" t="n">
        <v>433</v>
      </c>
      <c r="T4" s="1"/>
      <c r="U4" s="1"/>
      <c r="V4" s="1" t="n">
        <v>56.0139</v>
      </c>
      <c r="W4" s="1" t="n">
        <v>65.0979</v>
      </c>
      <c r="X4" s="1" t="n">
        <v>433</v>
      </c>
      <c r="Y4" s="1"/>
      <c r="Z4" s="1"/>
      <c r="AA4" s="1" t="n">
        <f aca="false">V4+Q4+L4+G4+B4</f>
        <v>1440.0001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4.65" hidden="false" customHeight="false" outlineLevel="0" collapsed="false">
      <c r="A6" s="1" t="s">
        <v>6</v>
      </c>
      <c r="B6" s="1" t="n">
        <v>1047</v>
      </c>
      <c r="C6" s="1" t="n">
        <v>250.639</v>
      </c>
      <c r="D6" s="1" t="n">
        <v>60</v>
      </c>
      <c r="E6" s="2" t="n">
        <f aca="false">(B6-B$4)/SQRT(C6^2/D6+C$4^2/D$4)</f>
        <v>-3.55776355938537</v>
      </c>
      <c r="F6" s="1"/>
      <c r="G6" s="1" t="n">
        <v>10.75</v>
      </c>
      <c r="H6" s="1" t="n">
        <v>76.1421</v>
      </c>
      <c r="I6" s="1" t="n">
        <v>60</v>
      </c>
      <c r="J6" s="2" t="n">
        <f aca="false">(G6-G$4)/SQRT(H6^2/I6+H$4^2/I$4)</f>
        <v>-0.244946573850883</v>
      </c>
      <c r="K6" s="1"/>
      <c r="L6" s="1" t="n">
        <v>13.9667</v>
      </c>
      <c r="M6" s="1" t="n">
        <v>49.4454</v>
      </c>
      <c r="N6" s="1" t="n">
        <v>60</v>
      </c>
      <c r="O6" s="2" t="n">
        <f aca="false">(L6-L$4)/SQRT(M6^2/N6+M$4^2/N$4)</f>
        <v>-0.779768207994734</v>
      </c>
      <c r="P6" s="1"/>
      <c r="Q6" s="1" t="n">
        <v>318.2</v>
      </c>
      <c r="R6" s="1" t="n">
        <v>244.2316</v>
      </c>
      <c r="S6" s="1" t="n">
        <v>60</v>
      </c>
      <c r="T6" s="2" t="n">
        <f aca="false">(Q6-Q$4)/SQRT(R6^2/S6+R$4^2/S$4)</f>
        <v>4.09039871029474</v>
      </c>
      <c r="U6" s="1"/>
      <c r="V6" s="1" t="n">
        <v>50.0833</v>
      </c>
      <c r="W6" s="1" t="n">
        <v>47.3513</v>
      </c>
      <c r="X6" s="1" t="n">
        <v>60</v>
      </c>
      <c r="Y6" s="2" t="n">
        <f aca="false">(V6-V$4)/SQRT(W6^2/X6+W$4^2/X$4)</f>
        <v>-0.863634710958207</v>
      </c>
      <c r="Z6" s="1"/>
      <c r="AA6" s="1" t="n">
        <f aca="false">V6+Q6+L6+G6+B6</f>
        <v>1440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customFormat="false" ht="14.65" hidden="false" customHeight="false" outlineLevel="0" collapsed="false">
      <c r="A7" s="1" t="s">
        <v>7</v>
      </c>
      <c r="B7" s="1" t="n">
        <v>1128.6571</v>
      </c>
      <c r="C7" s="1" t="n">
        <v>239.4466</v>
      </c>
      <c r="D7" s="1" t="n">
        <v>70</v>
      </c>
      <c r="E7" s="2" t="n">
        <f aca="false">(B7-B$4)/SQRT(C7^2/D7+C$4^2/D$4)</f>
        <v>-1.29914104876157</v>
      </c>
      <c r="F7" s="1"/>
      <c r="G7" s="1" t="n">
        <v>22.8</v>
      </c>
      <c r="H7" s="1" t="n">
        <v>108.5462</v>
      </c>
      <c r="I7" s="1" t="n">
        <v>70</v>
      </c>
      <c r="J7" s="2" t="n">
        <f aca="false">(G7-G$4)/SQRT(H7^2/I7+H$4^2/I$4)</f>
        <v>0.69957474046955</v>
      </c>
      <c r="K7" s="1"/>
      <c r="L7" s="1" t="n">
        <v>23.2714</v>
      </c>
      <c r="M7" s="1" t="n">
        <v>60.1216</v>
      </c>
      <c r="N7" s="1" t="n">
        <v>70</v>
      </c>
      <c r="O7" s="2" t="n">
        <f aca="false">(L7-L$4)/SQRT(M7^2/N7+M$4^2/N$4)</f>
        <v>0.547707254980803</v>
      </c>
      <c r="P7" s="1"/>
      <c r="Q7" s="1" t="n">
        <v>207.7714</v>
      </c>
      <c r="R7" s="1" t="n">
        <v>219.3577</v>
      </c>
      <c r="S7" s="1" t="n">
        <v>70</v>
      </c>
      <c r="T7" s="2" t="n">
        <f aca="false">(Q7-Q$4)/SQRT(R7^2/S7+R$4^2/S$4)</f>
        <v>0.882479652816954</v>
      </c>
      <c r="U7" s="1"/>
      <c r="V7" s="1" t="n">
        <v>57.5</v>
      </c>
      <c r="W7" s="1" t="n">
        <v>51.6627</v>
      </c>
      <c r="X7" s="1" t="n">
        <v>70</v>
      </c>
      <c r="Y7" s="2" t="n">
        <f aca="false">(V7-V$4)/SQRT(W7^2/X7+W$4^2/X$4)</f>
        <v>0.214688024773203</v>
      </c>
      <c r="Z7" s="1"/>
      <c r="AA7" s="1" t="n">
        <f aca="false">V7+Q7+L7+G7+B7</f>
        <v>1439.9999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14.65" hidden="false" customHeight="false" outlineLevel="0" collapsed="false">
      <c r="A8" s="1" t="s">
        <v>8</v>
      </c>
      <c r="B8" s="1" t="n">
        <v>1140.5789</v>
      </c>
      <c r="C8" s="1" t="n">
        <v>226.0825</v>
      </c>
      <c r="D8" s="1" t="n">
        <v>38</v>
      </c>
      <c r="E8" s="2" t="n">
        <f aca="false">(B8-B$4)/SQRT(C8^2/D8+C$4^2/D$4)</f>
        <v>-0.727938375341349</v>
      </c>
      <c r="F8" s="1"/>
      <c r="G8" s="1" t="n">
        <v>22.3158</v>
      </c>
      <c r="H8" s="1" t="n">
        <v>102.0109</v>
      </c>
      <c r="I8" s="1" t="n">
        <v>38</v>
      </c>
      <c r="J8" s="2" t="n">
        <f aca="false">(G8-G$4)/SQRT(H8^2/I8+H$4^2/I$4)</f>
        <v>0.528667964825481</v>
      </c>
      <c r="K8" s="1"/>
      <c r="L8" s="1" t="n">
        <v>23.7105</v>
      </c>
      <c r="M8" s="1" t="n">
        <v>41.4004</v>
      </c>
      <c r="N8" s="1" t="n">
        <v>38</v>
      </c>
      <c r="O8" s="2" t="n">
        <f aca="false">(L8-L$4)/SQRT(M8^2/N8+M$4^2/N$4)</f>
        <v>0.64561601116762</v>
      </c>
      <c r="P8" s="1"/>
      <c r="Q8" s="1" t="n">
        <v>196.6842</v>
      </c>
      <c r="R8" s="1" t="n">
        <v>209.8353</v>
      </c>
      <c r="S8" s="1" t="n">
        <v>38</v>
      </c>
      <c r="T8" s="2" t="n">
        <f aca="false">(Q8-Q$4)/SQRT(R8^2/S8+R$4^2/S$4)</f>
        <v>0.384770869562219</v>
      </c>
      <c r="U8" s="1"/>
      <c r="V8" s="1" t="n">
        <v>56.7105</v>
      </c>
      <c r="W8" s="1" t="n">
        <v>60.8334</v>
      </c>
      <c r="X8" s="1" t="n">
        <v>38</v>
      </c>
      <c r="Y8" s="2" t="n">
        <f aca="false">(V8-V$4)/SQRT(W8^2/X8+W$4^2/X$4)</f>
        <v>0.0672882285107513</v>
      </c>
      <c r="Z8" s="1"/>
      <c r="AA8" s="1" t="n">
        <f aca="false">V8+Q8+L8+G8+B8</f>
        <v>1439.9999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14.65" hidden="false" customHeight="false" outlineLevel="0" collapsed="false">
      <c r="A9" s="1" t="s">
        <v>9</v>
      </c>
      <c r="B9" s="1" t="n">
        <v>1178.92</v>
      </c>
      <c r="C9" s="1" t="n">
        <v>204.8709</v>
      </c>
      <c r="D9" s="1" t="n">
        <v>25</v>
      </c>
      <c r="E9" s="2" t="n">
        <f aca="false">(B9-B$4)/SQRT(C9^2/D9+C$4^2/D$4)</f>
        <v>0.247712747155086</v>
      </c>
      <c r="F9" s="1"/>
      <c r="G9" s="1" t="n">
        <v>43.2</v>
      </c>
      <c r="H9" s="1" t="n">
        <v>149.5819</v>
      </c>
      <c r="I9" s="1" t="n">
        <v>25</v>
      </c>
      <c r="J9" s="2" t="n">
        <f aca="false">(G9-G$4)/SQRT(H9^2/I9+H$4^2/I$4)</f>
        <v>0.990167077794335</v>
      </c>
      <c r="K9" s="1"/>
      <c r="L9" s="1" t="n">
        <v>13.4</v>
      </c>
      <c r="M9" s="1" t="n">
        <v>44.4382</v>
      </c>
      <c r="N9" s="1" t="n">
        <v>25</v>
      </c>
      <c r="O9" s="2" t="n">
        <f aca="false">(L9-L$4)/SQRT(M9^2/N9+M$4^2/N$4)</f>
        <v>-0.634873729354868</v>
      </c>
      <c r="P9" s="1"/>
      <c r="Q9" s="1" t="n">
        <v>163.08</v>
      </c>
      <c r="R9" s="1" t="n">
        <v>168.524</v>
      </c>
      <c r="S9" s="1" t="n">
        <v>25</v>
      </c>
      <c r="T9" s="2" t="n">
        <f aca="false">(Q9-Q$4)/SQRT(R9^2/S9+R$4^2/S$4)</f>
        <v>-0.568466884623016</v>
      </c>
      <c r="U9" s="1"/>
      <c r="V9" s="1" t="n">
        <v>41.4</v>
      </c>
      <c r="W9" s="1" t="n">
        <v>32.4268</v>
      </c>
      <c r="X9" s="1" t="n">
        <v>25</v>
      </c>
      <c r="Y9" s="2" t="n">
        <f aca="false">(V9-V$4)/SQRT(W9^2/X9+W$4^2/X$4)</f>
        <v>-2.02957493451115</v>
      </c>
      <c r="Z9" s="1"/>
      <c r="AA9" s="1" t="n">
        <f aca="false">V9+Q9+L9+G9+B9</f>
        <v>1440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4.65" hidden="false" customHeight="false" outlineLevel="0" collapsed="false">
      <c r="A10" s="1" t="s">
        <v>10</v>
      </c>
      <c r="B10" s="1" t="n">
        <v>1222.875</v>
      </c>
      <c r="C10" s="1" t="n">
        <v>217.4743</v>
      </c>
      <c r="D10" s="1" t="n">
        <v>24</v>
      </c>
      <c r="E10" s="2" t="n">
        <f aca="false">(B10-B$4)/SQRT(C10^2/D10+C$4^2/D$4)</f>
        <v>1.19160372897446</v>
      </c>
      <c r="F10" s="1"/>
      <c r="G10" s="1" t="n">
        <v>5.8333</v>
      </c>
      <c r="H10" s="1" t="n">
        <v>28.5774</v>
      </c>
      <c r="I10" s="1" t="n">
        <v>24</v>
      </c>
      <c r="J10" s="2" t="n">
        <f aca="false">(G10-G$4)/SQRT(H10^2/I10+H$4^2/I$4)</f>
        <v>-1.0742382228344</v>
      </c>
      <c r="K10" s="1"/>
      <c r="L10" s="1" t="n">
        <v>9.125</v>
      </c>
      <c r="M10" s="1" t="n">
        <v>14.5163</v>
      </c>
      <c r="N10" s="1" t="n">
        <v>24</v>
      </c>
      <c r="O10" s="2" t="n">
        <f aca="false">(L10-L$4)/SQRT(M10^2/N10+M$4^2/N$4)</f>
        <v>-2.81030046166416</v>
      </c>
      <c r="P10" s="1"/>
      <c r="Q10" s="1" t="n">
        <v>144.125</v>
      </c>
      <c r="R10" s="1" t="n">
        <v>207.3074</v>
      </c>
      <c r="S10" s="1" t="n">
        <v>24</v>
      </c>
      <c r="T10" s="2" t="n">
        <f aca="false">(Q10-Q$4)/SQRT(R10^2/S10+R$4^2/S$4)</f>
        <v>-0.895679010099011</v>
      </c>
      <c r="U10" s="1"/>
      <c r="V10" s="1" t="n">
        <v>58.0417</v>
      </c>
      <c r="W10" s="1" t="n">
        <v>73.9856</v>
      </c>
      <c r="X10" s="1" t="n">
        <v>24</v>
      </c>
      <c r="Y10" s="2" t="n">
        <f aca="false">(V10-V$4)/SQRT(W10^2/X10+W$4^2/X$4)</f>
        <v>0.131480102289108</v>
      </c>
      <c r="Z10" s="1"/>
      <c r="AA10" s="1" t="n">
        <f aca="false">V10+Q10+L10+G10+B10</f>
        <v>1440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14.65" hidden="false" customHeight="false" outlineLevel="0" collapsed="false">
      <c r="A11" s="1" t="s">
        <v>11</v>
      </c>
      <c r="B11" s="1" t="n">
        <v>1207.2083</v>
      </c>
      <c r="C11" s="1" t="n">
        <v>263.5419</v>
      </c>
      <c r="D11" s="1" t="n">
        <v>24</v>
      </c>
      <c r="E11" s="2" t="n">
        <f aca="false">(B11-B$4)/SQRT(C11^2/D11+C$4^2/D$4)</f>
        <v>0.706795300033435</v>
      </c>
      <c r="F11" s="1"/>
      <c r="G11" s="1" t="n">
        <v>0</v>
      </c>
      <c r="H11" s="1" t="n">
        <v>0</v>
      </c>
      <c r="I11" s="1" t="n">
        <v>24</v>
      </c>
      <c r="J11" s="2" t="n">
        <f aca="false">(G11-G$4)/SQRT(H11^2/I11+H$4^2/I$4)</f>
        <v>-3.47364414438486</v>
      </c>
      <c r="K11" s="1"/>
      <c r="L11" s="1" t="n">
        <v>24.7917</v>
      </c>
      <c r="M11" s="1" t="n">
        <v>33.6167</v>
      </c>
      <c r="N11" s="1" t="n">
        <v>24</v>
      </c>
      <c r="O11" s="2" t="n">
        <f aca="false">(L11-L$4)/SQRT(M11^2/N11+M$4^2/N$4)</f>
        <v>0.784198633013727</v>
      </c>
      <c r="P11" s="1"/>
      <c r="Q11" s="1" t="n">
        <v>107.1667</v>
      </c>
      <c r="R11" s="1" t="n">
        <v>182.4766</v>
      </c>
      <c r="S11" s="1" t="n">
        <v>24</v>
      </c>
      <c r="T11" s="2" t="n">
        <f aca="false">(Q11-Q$4)/SQRT(R11^2/S11+R$4^2/S$4)</f>
        <v>-1.96906475818205</v>
      </c>
      <c r="U11" s="1"/>
      <c r="V11" s="1" t="n">
        <v>100.8333</v>
      </c>
      <c r="W11" s="1" t="n">
        <v>134.5678</v>
      </c>
      <c r="X11" s="1" t="n">
        <v>24</v>
      </c>
      <c r="Y11" s="2" t="n">
        <f aca="false">(V11-V$4)/SQRT(W11^2/X11+W$4^2/X$4)</f>
        <v>1.62118281270492</v>
      </c>
      <c r="Z11" s="1"/>
      <c r="AA11" s="1" t="n">
        <f aca="false">V11+Q11+L11+G11+B11</f>
        <v>1440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4.65" hidden="false" customHeight="false" outlineLevel="0" collapsed="false">
      <c r="A12" s="1" t="s">
        <v>12</v>
      </c>
      <c r="B12" s="1" t="n">
        <v>1244.0625</v>
      </c>
      <c r="C12" s="1" t="n">
        <v>184.267</v>
      </c>
      <c r="D12" s="1" t="n">
        <v>16</v>
      </c>
      <c r="E12" s="2" t="n">
        <f aca="false">(B12-B$4)/SQRT(C12^2/D12+C$4^2/D$4)</f>
        <v>1.59827402764719</v>
      </c>
      <c r="F12" s="1"/>
      <c r="G12" s="1" t="n">
        <v>0</v>
      </c>
      <c r="H12" s="1" t="n">
        <v>0</v>
      </c>
      <c r="I12" s="1" t="n">
        <v>16</v>
      </c>
      <c r="J12" s="2" t="n">
        <f aca="false">(G12-G$4)/SQRT(H12^2/I12+H$4^2/I$4)</f>
        <v>-3.47364414438486</v>
      </c>
      <c r="K12" s="1"/>
      <c r="L12" s="1" t="n">
        <v>0.9375</v>
      </c>
      <c r="M12" s="1" t="n">
        <v>2.7195</v>
      </c>
      <c r="N12" s="1" t="n">
        <v>16</v>
      </c>
      <c r="O12" s="2" t="n">
        <f aca="false">(L12-L$4)/SQRT(M12^2/N12+M$4^2/N$4)</f>
        <v>-8.60590919486639</v>
      </c>
      <c r="P12" s="1"/>
      <c r="Q12" s="1" t="n">
        <v>160.0625</v>
      </c>
      <c r="R12" s="1" t="n">
        <v>158.7952</v>
      </c>
      <c r="S12" s="1" t="n">
        <v>16</v>
      </c>
      <c r="T12" s="2" t="n">
        <f aca="false">(Q12-Q$4)/SQRT(R12^2/S12+R$4^2/S$4)</f>
        <v>-0.561816244833899</v>
      </c>
      <c r="U12" s="1"/>
      <c r="V12" s="1" t="n">
        <v>34.9375</v>
      </c>
      <c r="W12" s="1" t="n">
        <v>44.084</v>
      </c>
      <c r="X12" s="1" t="n">
        <v>16</v>
      </c>
      <c r="Y12" s="2" t="n">
        <f aca="false">(V12-V$4)/SQRT(W12^2/X12+W$4^2/X$4)</f>
        <v>-1.83970349144509</v>
      </c>
      <c r="Z12" s="1"/>
      <c r="AA12" s="1" t="n">
        <f aca="false">V12+Q12+L12+G12+B12</f>
        <v>1440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14.65" hidden="false" customHeight="false" outlineLevel="0" collapsed="false">
      <c r="A13" s="1" t="s">
        <v>13</v>
      </c>
      <c r="B13" s="1" t="n">
        <v>1167.6552</v>
      </c>
      <c r="C13" s="1" t="n">
        <v>274.7598</v>
      </c>
      <c r="D13" s="1" t="n">
        <v>29</v>
      </c>
      <c r="E13" s="2" t="n">
        <f aca="false">(B13-B$4)/SQRT(C13^2/D13+C$4^2/D$4)</f>
        <v>-0.0146675747171697</v>
      </c>
      <c r="F13" s="1"/>
      <c r="G13" s="1" t="n">
        <v>0</v>
      </c>
      <c r="H13" s="1" t="n">
        <v>0</v>
      </c>
      <c r="I13" s="1" t="n">
        <v>29</v>
      </c>
      <c r="J13" s="2" t="n">
        <f aca="false">(G13-G$4)/SQRT(H13^2/I13+H$4^2/I$4)</f>
        <v>-3.47364414438486</v>
      </c>
      <c r="K13" s="1"/>
      <c r="L13" s="1" t="n">
        <v>11</v>
      </c>
      <c r="M13" s="1" t="n">
        <v>18.5068</v>
      </c>
      <c r="N13" s="1" t="n">
        <v>29</v>
      </c>
      <c r="O13" s="2" t="n">
        <f aca="false">(L13-L$4)/SQRT(M13^2/N13+M$4^2/N$4)</f>
        <v>-2.0562528122464</v>
      </c>
      <c r="P13" s="1"/>
      <c r="Q13" s="1" t="n">
        <v>209</v>
      </c>
      <c r="R13" s="1" t="n">
        <v>256.4377</v>
      </c>
      <c r="S13" s="1" t="n">
        <v>29</v>
      </c>
      <c r="T13" s="2" t="n">
        <f aca="false">(Q13-Q$4)/SQRT(R13^2/S13+R$4^2/S$4)</f>
        <v>0.533662883176352</v>
      </c>
      <c r="U13" s="1"/>
      <c r="V13" s="1" t="n">
        <v>52.3448</v>
      </c>
      <c r="W13" s="1" t="n">
        <v>61.1802</v>
      </c>
      <c r="X13" s="1" t="n">
        <v>29</v>
      </c>
      <c r="Y13" s="2" t="n">
        <f aca="false">(V13-V$4)/SQRT(W13^2/X13+W$4^2/X$4)</f>
        <v>-0.31136980280264</v>
      </c>
      <c r="Z13" s="1"/>
      <c r="AA13" s="1" t="n">
        <f aca="false">V13+Q13+L13+G13+B13</f>
        <v>1440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customFormat="false" ht="14.65" hidden="false" customHeight="false" outlineLevel="0" collapsed="false">
      <c r="A14" s="1" t="s">
        <v>14</v>
      </c>
      <c r="B14" s="1" t="n">
        <v>1206.6531</v>
      </c>
      <c r="C14" s="1" t="n">
        <v>191.9343</v>
      </c>
      <c r="D14" s="1" t="n">
        <v>49</v>
      </c>
      <c r="E14" s="2" t="n">
        <f aca="false">(B14-B$4)/SQRT(C14^2/D14+C$4^2/D$4)</f>
        <v>1.29654733783361</v>
      </c>
      <c r="F14" s="1"/>
      <c r="G14" s="1" t="n">
        <v>16.2245</v>
      </c>
      <c r="H14" s="1" t="n">
        <v>74.4041</v>
      </c>
      <c r="I14" s="1" t="n">
        <v>49</v>
      </c>
      <c r="J14" s="2" t="n">
        <f aca="false">(G14-G$4)/SQRT(H14^2/I14+H$4^2/I$4)</f>
        <v>0.255690809351341</v>
      </c>
      <c r="K14" s="1"/>
      <c r="L14" s="1" t="n">
        <v>26.0612</v>
      </c>
      <c r="M14" s="1" t="n">
        <v>40.4137</v>
      </c>
      <c r="N14" s="1" t="n">
        <v>49</v>
      </c>
      <c r="O14" s="2" t="n">
        <f aca="false">(L14-L$4)/SQRT(M14^2/N14+M$4^2/N$4)</f>
        <v>1.12493032455708</v>
      </c>
      <c r="P14" s="1"/>
      <c r="Q14" s="1" t="n">
        <v>135.0816</v>
      </c>
      <c r="R14" s="1" t="n">
        <v>165.3104</v>
      </c>
      <c r="S14" s="1" t="n">
        <v>49</v>
      </c>
      <c r="T14" s="2" t="n">
        <f aca="false">(Q14-Q$4)/SQRT(R14^2/S14+R$4^2/S$4)</f>
        <v>-1.87369075635516</v>
      </c>
      <c r="U14" s="1"/>
      <c r="V14" s="1" t="n">
        <v>55.9796</v>
      </c>
      <c r="W14" s="1" t="n">
        <v>61.6135</v>
      </c>
      <c r="X14" s="1" t="n">
        <v>49</v>
      </c>
      <c r="Y14" s="2" t="n">
        <f aca="false">(V14-V$4)/SQRT(W14^2/X14+W$4^2/X$4)</f>
        <v>-0.00367184515185052</v>
      </c>
      <c r="Z14" s="1"/>
      <c r="AA14" s="1" t="n">
        <f aca="false">V14+Q14+L14+G14+B14</f>
        <v>1440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customFormat="false" ht="14.65" hidden="false" customHeight="false" outlineLevel="0" collapsed="false">
      <c r="A15" s="1" t="s">
        <v>15</v>
      </c>
      <c r="B15" s="1" t="n">
        <v>1225.2041</v>
      </c>
      <c r="C15" s="1" t="n">
        <v>169.0621</v>
      </c>
      <c r="D15" s="1" t="n">
        <v>98</v>
      </c>
      <c r="E15" s="2" t="n">
        <f aca="false">(B15-B$4)/SQRT(C15^2/D15+C$4^2/D$4)</f>
        <v>2.80643005790207</v>
      </c>
      <c r="F15" s="1"/>
      <c r="G15" s="1" t="n">
        <v>6.8367</v>
      </c>
      <c r="H15" s="1" t="n">
        <v>59.6268</v>
      </c>
      <c r="I15" s="1" t="n">
        <v>98</v>
      </c>
      <c r="J15" s="2" t="n">
        <f aca="false">(G15-G$4)/SQRT(H15^2/I15+H$4^2/I$4)</f>
        <v>-0.90978615837814</v>
      </c>
      <c r="K15" s="1"/>
      <c r="L15" s="1" t="n">
        <v>22.2347</v>
      </c>
      <c r="M15" s="1" t="n">
        <v>34.1307</v>
      </c>
      <c r="N15" s="1" t="n">
        <v>98</v>
      </c>
      <c r="O15" s="2" t="n">
        <f aca="false">(L15-L$4)/SQRT(M15^2/N15+M$4^2/N$4)</f>
        <v>0.764380718624136</v>
      </c>
      <c r="P15" s="1"/>
      <c r="Q15" s="1" t="n">
        <v>130.6122</v>
      </c>
      <c r="R15" s="1" t="n">
        <v>146.4761</v>
      </c>
      <c r="S15" s="1" t="n">
        <v>98</v>
      </c>
      <c r="T15" s="2" t="n">
        <f aca="false">(Q15-Q$4)/SQRT(R15^2/S15+R$4^2/S$4)</f>
        <v>-2.94714929295499</v>
      </c>
      <c r="U15" s="1"/>
      <c r="V15" s="1" t="n">
        <v>55.1122</v>
      </c>
      <c r="W15" s="1" t="n">
        <v>66.5816</v>
      </c>
      <c r="X15" s="1" t="n">
        <v>98</v>
      </c>
      <c r="Y15" s="2" t="n">
        <f aca="false">(V15-V$4)/SQRT(W15^2/X15+W$4^2/X$4)</f>
        <v>-0.121560085598945</v>
      </c>
      <c r="Z15" s="1"/>
      <c r="AA15" s="1" t="n">
        <f aca="false">V15+Q15+L15+G15+B15</f>
        <v>1439.9999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4" activeCellId="0" sqref="V4:V15 V4:V15"/>
    </sheetView>
  </sheetViews>
  <sheetFormatPr defaultColWidth="11.421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1" t="s">
        <v>0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20</v>
      </c>
      <c r="R1" s="1"/>
      <c r="S1" s="1"/>
      <c r="T1" s="1"/>
      <c r="U1" s="1"/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4.65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/>
      <c r="G2" s="1" t="s">
        <v>23</v>
      </c>
      <c r="H2" s="1" t="s">
        <v>24</v>
      </c>
      <c r="I2" s="1" t="s">
        <v>25</v>
      </c>
      <c r="J2" s="1"/>
      <c r="K2" s="1"/>
      <c r="L2" s="1" t="s">
        <v>23</v>
      </c>
      <c r="M2" s="1" t="s">
        <v>24</v>
      </c>
      <c r="N2" s="1" t="s">
        <v>25</v>
      </c>
      <c r="O2" s="1"/>
      <c r="P2" s="1"/>
      <c r="Q2" s="1" t="s">
        <v>23</v>
      </c>
      <c r="R2" s="1" t="s">
        <v>24</v>
      </c>
      <c r="S2" s="1" t="s">
        <v>25</v>
      </c>
      <c r="T2" s="1"/>
      <c r="U2" s="1"/>
      <c r="V2" s="1" t="s">
        <v>23</v>
      </c>
      <c r="W2" s="1" t="s">
        <v>24</v>
      </c>
      <c r="X2" s="1" t="s">
        <v>25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14.6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4.65" hidden="false" customHeight="false" outlineLevel="0" collapsed="false">
      <c r="A4" s="1" t="s">
        <v>26</v>
      </c>
      <c r="B4" s="1" t="n">
        <v>1179.1945</v>
      </c>
      <c r="C4" s="1" t="n">
        <v>200.8891</v>
      </c>
      <c r="D4" s="1" t="n">
        <v>1049</v>
      </c>
      <c r="E4" s="1"/>
      <c r="F4" s="1"/>
      <c r="G4" s="1" t="n">
        <v>7.7674</v>
      </c>
      <c r="H4" s="1" t="n">
        <v>58.1945</v>
      </c>
      <c r="I4" s="1" t="n">
        <v>1049</v>
      </c>
      <c r="J4" s="1"/>
      <c r="K4" s="1"/>
      <c r="L4" s="1" t="n">
        <v>35.4805</v>
      </c>
      <c r="M4" s="1" t="n">
        <v>64.5431</v>
      </c>
      <c r="N4" s="1" t="n">
        <v>1049</v>
      </c>
      <c r="O4" s="1"/>
      <c r="P4" s="1"/>
      <c r="Q4" s="1" t="n">
        <v>157.6492</v>
      </c>
      <c r="R4" s="1" t="n">
        <v>176.7518</v>
      </c>
      <c r="S4" s="1" t="n">
        <v>1049</v>
      </c>
      <c r="T4" s="1"/>
      <c r="U4" s="1"/>
      <c r="V4" s="1" t="n">
        <v>59.9085</v>
      </c>
      <c r="W4" s="1" t="n">
        <v>66.7052</v>
      </c>
      <c r="X4" s="1" t="n">
        <v>1049</v>
      </c>
      <c r="Y4" s="1"/>
      <c r="Z4" s="1"/>
      <c r="AA4" s="1" t="n">
        <f aca="false">V4+Q4+L4+G4+B4</f>
        <v>1440.0001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4.65" hidden="false" customHeight="false" outlineLevel="0" collapsed="false">
      <c r="A6" s="1" t="s">
        <v>6</v>
      </c>
      <c r="B6" s="1" t="n">
        <v>1066.0779</v>
      </c>
      <c r="C6" s="1" t="n">
        <v>226.2538</v>
      </c>
      <c r="D6" s="1" t="n">
        <v>77</v>
      </c>
      <c r="E6" s="2" t="n">
        <f aca="false">(B6-B$4)/SQRT(C6^2/D6+C$4^2/D$4)</f>
        <v>-4.2654037356705</v>
      </c>
      <c r="F6" s="1"/>
      <c r="G6" s="1" t="n">
        <v>5.8701</v>
      </c>
      <c r="H6" s="1" t="n">
        <v>35.5411</v>
      </c>
      <c r="I6" s="1" t="n">
        <v>77</v>
      </c>
      <c r="J6" s="2" t="n">
        <f aca="false">(G6-G$4)/SQRT(H6^2/I6+H$4^2/I$4)</f>
        <v>-0.428193773130026</v>
      </c>
      <c r="K6" s="1"/>
      <c r="L6" s="1" t="n">
        <v>37.3506</v>
      </c>
      <c r="M6" s="1" t="n">
        <v>96.659</v>
      </c>
      <c r="N6" s="1" t="n">
        <v>77</v>
      </c>
      <c r="O6" s="2" t="n">
        <f aca="false">(L6-L$4)/SQRT(M6^2/N6+M$4^2/N$4)</f>
        <v>0.167060873413324</v>
      </c>
      <c r="P6" s="1"/>
      <c r="Q6" s="1" t="n">
        <v>253.6494</v>
      </c>
      <c r="R6" s="1" t="n">
        <v>224.1573</v>
      </c>
      <c r="S6" s="1" t="n">
        <v>77</v>
      </c>
      <c r="T6" s="2" t="n">
        <f aca="false">(Q6-Q$4)/SQRT(R6^2/S6+R$4^2/S$4)</f>
        <v>3.67513844966587</v>
      </c>
      <c r="U6" s="1"/>
      <c r="V6" s="1" t="n">
        <v>77.0519</v>
      </c>
      <c r="W6" s="1" t="n">
        <v>81.0177</v>
      </c>
      <c r="X6" s="1" t="n">
        <v>77</v>
      </c>
      <c r="Y6" s="2" t="n">
        <f aca="false">(V6-V$4)/SQRT(W6^2/X6+W$4^2/X$4)</f>
        <v>1.81224759902052</v>
      </c>
      <c r="Z6" s="1"/>
      <c r="AA6" s="1" t="n">
        <f aca="false">V6+Q6+L6+G6+B6</f>
        <v>1439.9999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customFormat="false" ht="14.65" hidden="false" customHeight="false" outlineLevel="0" collapsed="false">
      <c r="A7" s="1" t="s">
        <v>7</v>
      </c>
      <c r="B7" s="1" t="n">
        <v>1136.7748</v>
      </c>
      <c r="C7" s="1" t="n">
        <v>222.6228</v>
      </c>
      <c r="D7" s="1" t="n">
        <v>111</v>
      </c>
      <c r="E7" s="2" t="n">
        <f aca="false">(B7-B$4)/SQRT(C7^2/D7+C$4^2/D$4)</f>
        <v>-1.92624681441416</v>
      </c>
      <c r="F7" s="1"/>
      <c r="G7" s="1" t="n">
        <v>7.2072</v>
      </c>
      <c r="H7" s="1" t="n">
        <v>54.9904</v>
      </c>
      <c r="I7" s="1" t="n">
        <v>111</v>
      </c>
      <c r="J7" s="2" t="n">
        <f aca="false">(G7-G$4)/SQRT(H7^2/I7+H$4^2/I$4)</f>
        <v>-0.101484262589658</v>
      </c>
      <c r="K7" s="1"/>
      <c r="L7" s="1" t="n">
        <v>24.2252</v>
      </c>
      <c r="M7" s="1" t="n">
        <v>53.8156</v>
      </c>
      <c r="N7" s="1" t="n">
        <v>111</v>
      </c>
      <c r="O7" s="2" t="n">
        <f aca="false">(L7-L$4)/SQRT(M7^2/N7+M$4^2/N$4)</f>
        <v>-2.05279404279318</v>
      </c>
      <c r="P7" s="1"/>
      <c r="Q7" s="1" t="n">
        <v>215.5676</v>
      </c>
      <c r="R7" s="1" t="n">
        <v>208.4355</v>
      </c>
      <c r="S7" s="1" t="n">
        <v>111</v>
      </c>
      <c r="T7" s="2" t="n">
        <f aca="false">(Q7-Q$4)/SQRT(R7^2/S7+R$4^2/S$4)</f>
        <v>2.82216180546783</v>
      </c>
      <c r="U7" s="1"/>
      <c r="V7" s="1" t="n">
        <v>56.2252</v>
      </c>
      <c r="W7" s="1" t="n">
        <v>55.7553</v>
      </c>
      <c r="X7" s="1" t="n">
        <v>111</v>
      </c>
      <c r="Y7" s="2" t="n">
        <f aca="false">(V7-V$4)/SQRT(W7^2/X7+W$4^2/X$4)</f>
        <v>-0.64861684113596</v>
      </c>
      <c r="Z7" s="1"/>
      <c r="AA7" s="1" t="n">
        <f aca="false">V7+Q7+L7+G7+B7</f>
        <v>1440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14.65" hidden="false" customHeight="false" outlineLevel="0" collapsed="false">
      <c r="A8" s="1" t="s">
        <v>8</v>
      </c>
      <c r="B8" s="1" t="n">
        <v>1154.979</v>
      </c>
      <c r="C8" s="1" t="n">
        <v>202.7398</v>
      </c>
      <c r="D8" s="1" t="n">
        <v>143</v>
      </c>
      <c r="E8" s="2" t="n">
        <f aca="false">(B8-B$4)/SQRT(C8^2/D8+C$4^2/D$4)</f>
        <v>-1.3413620264637</v>
      </c>
      <c r="F8" s="1"/>
      <c r="G8" s="1" t="n">
        <v>27.2937</v>
      </c>
      <c r="H8" s="1" t="n">
        <v>116.2214</v>
      </c>
      <c r="I8" s="1" t="n">
        <v>143</v>
      </c>
      <c r="J8" s="2" t="n">
        <f aca="false">(G8-G$4)/SQRT(H8^2/I8+H$4^2/I$4)</f>
        <v>1.9756232748535</v>
      </c>
      <c r="K8" s="1"/>
      <c r="L8" s="1" t="n">
        <v>37</v>
      </c>
      <c r="M8" s="1" t="n">
        <v>72.4213</v>
      </c>
      <c r="N8" s="1" t="n">
        <v>143</v>
      </c>
      <c r="O8" s="2" t="n">
        <f aca="false">(L8-L$4)/SQRT(M8^2/N8+M$4^2/N$4)</f>
        <v>0.238329976090399</v>
      </c>
      <c r="P8" s="1"/>
      <c r="Q8" s="1" t="n">
        <v>164.8462</v>
      </c>
      <c r="R8" s="1" t="n">
        <v>178.8371</v>
      </c>
      <c r="S8" s="1" t="n">
        <v>143</v>
      </c>
      <c r="T8" s="2" t="n">
        <f aca="false">(Q8-Q$4)/SQRT(R8^2/S8+R$4^2/S$4)</f>
        <v>0.452081079008176</v>
      </c>
      <c r="U8" s="1"/>
      <c r="V8" s="1" t="n">
        <v>55.8811</v>
      </c>
      <c r="W8" s="1" t="n">
        <v>53.4153</v>
      </c>
      <c r="X8" s="1" t="n">
        <v>143</v>
      </c>
      <c r="Y8" s="2" t="n">
        <f aca="false">(V8-V$4)/SQRT(W8^2/X8+W$4^2/X$4)</f>
        <v>-0.818784508029691</v>
      </c>
      <c r="Z8" s="1"/>
      <c r="AA8" s="1" t="n">
        <f aca="false">V8+Q8+L8+G8+B8</f>
        <v>1440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14.65" hidden="false" customHeight="false" outlineLevel="0" collapsed="false">
      <c r="A9" s="1" t="s">
        <v>9</v>
      </c>
      <c r="B9" s="1" t="n">
        <v>1199.5918</v>
      </c>
      <c r="C9" s="1" t="n">
        <v>183.702</v>
      </c>
      <c r="D9" s="1" t="n">
        <v>147</v>
      </c>
      <c r="E9" s="2" t="n">
        <f aca="false">(B9-B$4)/SQRT(C9^2/D9+C$4^2/D$4)</f>
        <v>1.24587310264978</v>
      </c>
      <c r="F9" s="1"/>
      <c r="G9" s="1" t="n">
        <v>5.5102</v>
      </c>
      <c r="H9" s="1" t="n">
        <v>49.4758</v>
      </c>
      <c r="I9" s="1" t="n">
        <v>147</v>
      </c>
      <c r="J9" s="2" t="n">
        <f aca="false">(G9-G$4)/SQRT(H9^2/I9+H$4^2/I$4)</f>
        <v>-0.506240160696815</v>
      </c>
      <c r="K9" s="1"/>
      <c r="L9" s="1" t="n">
        <v>35.5374</v>
      </c>
      <c r="M9" s="1" t="n">
        <v>56.0206</v>
      </c>
      <c r="N9" s="1" t="n">
        <v>147</v>
      </c>
      <c r="O9" s="2" t="n">
        <f aca="false">(L9-L$4)/SQRT(M9^2/N9+M$4^2/N$4)</f>
        <v>0.0113078032408713</v>
      </c>
      <c r="P9" s="1"/>
      <c r="Q9" s="1" t="n">
        <v>144.7347</v>
      </c>
      <c r="R9" s="1" t="n">
        <v>150.4452</v>
      </c>
      <c r="S9" s="1" t="n">
        <v>147</v>
      </c>
      <c r="T9" s="2" t="n">
        <f aca="false">(Q9-Q$4)/SQRT(R9^2/S9+R$4^2/S$4)</f>
        <v>-0.952709161074045</v>
      </c>
      <c r="U9" s="1"/>
      <c r="V9" s="1" t="n">
        <v>54.6259</v>
      </c>
      <c r="W9" s="1" t="n">
        <v>49.5347</v>
      </c>
      <c r="X9" s="1" t="n">
        <v>147</v>
      </c>
      <c r="Y9" s="2" t="n">
        <f aca="false">(V9-V$4)/SQRT(W9^2/X9+W$4^2/X$4)</f>
        <v>-1.15458782970991</v>
      </c>
      <c r="Z9" s="1"/>
      <c r="AA9" s="1" t="n">
        <f aca="false">V9+Q9+L9+G9+B9</f>
        <v>1440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4.65" hidden="false" customHeight="false" outlineLevel="0" collapsed="false">
      <c r="A10" s="1" t="s">
        <v>10</v>
      </c>
      <c r="B10" s="1" t="n">
        <v>1199.4265</v>
      </c>
      <c r="C10" s="1" t="n">
        <v>190.8311</v>
      </c>
      <c r="D10" s="1" t="n">
        <v>136</v>
      </c>
      <c r="E10" s="2" t="n">
        <f aca="false">(B10-B$4)/SQRT(C10^2/D10+C$4^2/D$4)</f>
        <v>1.15613357376296</v>
      </c>
      <c r="F10" s="1"/>
      <c r="G10" s="1" t="n">
        <v>0.625</v>
      </c>
      <c r="H10" s="1" t="n">
        <v>6.1294</v>
      </c>
      <c r="I10" s="1" t="n">
        <v>136</v>
      </c>
      <c r="J10" s="2" t="n">
        <f aca="false">(G10-G$4)/SQRT(H10^2/I10+H$4^2/I$4)</f>
        <v>-3.81523737343414</v>
      </c>
      <c r="K10" s="1"/>
      <c r="L10" s="1" t="n">
        <v>40.5735</v>
      </c>
      <c r="M10" s="1" t="n">
        <v>55.5301</v>
      </c>
      <c r="N10" s="1" t="n">
        <v>136</v>
      </c>
      <c r="O10" s="2" t="n">
        <f aca="false">(L10-L$4)/SQRT(M10^2/N10+M$4^2/N$4)</f>
        <v>0.986661812649114</v>
      </c>
      <c r="P10" s="1"/>
      <c r="Q10" s="1" t="n">
        <v>139.6618</v>
      </c>
      <c r="R10" s="1" t="n">
        <v>172.8044</v>
      </c>
      <c r="S10" s="1" t="n">
        <v>136</v>
      </c>
      <c r="T10" s="2" t="n">
        <f aca="false">(Q10-Q$4)/SQRT(R10^2/S10+R$4^2/S$4)</f>
        <v>-1.13910323122148</v>
      </c>
      <c r="U10" s="1"/>
      <c r="V10" s="1" t="n">
        <v>59.7132</v>
      </c>
      <c r="W10" s="1" t="n">
        <v>67.3132</v>
      </c>
      <c r="X10" s="1" t="n">
        <v>136</v>
      </c>
      <c r="Y10" s="2" t="n">
        <f aca="false">(V10-V$4)/SQRT(W10^2/X10+W$4^2/X$4)</f>
        <v>-0.0318675489939922</v>
      </c>
      <c r="Z10" s="1"/>
      <c r="AA10" s="1" t="n">
        <f aca="false">V10+Q10+L10+G10+B10</f>
        <v>1440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14.65" hidden="false" customHeight="false" outlineLevel="0" collapsed="false">
      <c r="A11" s="1" t="s">
        <v>11</v>
      </c>
      <c r="B11" s="1" t="n">
        <v>1175.475</v>
      </c>
      <c r="C11" s="1" t="n">
        <v>199.4046</v>
      </c>
      <c r="D11" s="1" t="n">
        <v>80</v>
      </c>
      <c r="E11" s="2" t="n">
        <f aca="false">(B11-B$4)/SQRT(C11^2/D11+C$4^2/D$4)</f>
        <v>-0.160733101794328</v>
      </c>
      <c r="F11" s="1"/>
      <c r="G11" s="1" t="n">
        <v>15.625</v>
      </c>
      <c r="H11" s="1" t="n">
        <v>74.3</v>
      </c>
      <c r="I11" s="1" t="n">
        <v>80</v>
      </c>
      <c r="J11" s="2" t="n">
        <f aca="false">(G11-G$4)/SQRT(H11^2/I11+H$4^2/I$4)</f>
        <v>0.924522494791561</v>
      </c>
      <c r="K11" s="1"/>
      <c r="L11" s="1" t="n">
        <v>25.625</v>
      </c>
      <c r="M11" s="1" t="n">
        <v>44.3106</v>
      </c>
      <c r="N11" s="1" t="n">
        <v>80</v>
      </c>
      <c r="O11" s="2" t="n">
        <f aca="false">(L11-L$4)/SQRT(M11^2/N11+M$4^2/N$4)</f>
        <v>-1.845648189853</v>
      </c>
      <c r="P11" s="1"/>
      <c r="Q11" s="1" t="n">
        <v>154.3625</v>
      </c>
      <c r="R11" s="1" t="n">
        <v>168.9953</v>
      </c>
      <c r="S11" s="1" t="n">
        <v>80</v>
      </c>
      <c r="T11" s="2" t="n">
        <f aca="false">(Q11-Q$4)/SQRT(R11^2/S11+R$4^2/S$4)</f>
        <v>-0.167121040827491</v>
      </c>
      <c r="U11" s="1"/>
      <c r="V11" s="1" t="n">
        <v>68.9125</v>
      </c>
      <c r="W11" s="1" t="n">
        <v>89.7444</v>
      </c>
      <c r="X11" s="1" t="n">
        <v>80</v>
      </c>
      <c r="Y11" s="2" t="n">
        <f aca="false">(V11-V$4)/SQRT(W11^2/X11+W$4^2/X$4)</f>
        <v>0.879046020816684</v>
      </c>
      <c r="Z11" s="1"/>
      <c r="AA11" s="1" t="n">
        <f aca="false">V11+Q11+L11+G11+B11</f>
        <v>1440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4.65" hidden="false" customHeight="false" outlineLevel="0" collapsed="false">
      <c r="A12" s="1" t="s">
        <v>12</v>
      </c>
      <c r="B12" s="1" t="n">
        <v>1188.5902</v>
      </c>
      <c r="C12" s="1" t="n">
        <v>222.2401</v>
      </c>
      <c r="D12" s="1" t="n">
        <v>61</v>
      </c>
      <c r="E12" s="2" t="n">
        <f aca="false">(B12-B$4)/SQRT(C12^2/D12+C$4^2/D$4)</f>
        <v>0.322620308704226</v>
      </c>
      <c r="F12" s="1"/>
      <c r="G12" s="1" t="n">
        <v>0.9836</v>
      </c>
      <c r="H12" s="1" t="n">
        <v>7.6822</v>
      </c>
      <c r="I12" s="1" t="n">
        <v>61</v>
      </c>
      <c r="J12" s="2" t="n">
        <f aca="false">(G12-G$4)/SQRT(H12^2/I12+H$4^2/I$4)</f>
        <v>-3.31177764701605</v>
      </c>
      <c r="K12" s="1"/>
      <c r="L12" s="1" t="n">
        <v>46.9016</v>
      </c>
      <c r="M12" s="1" t="n">
        <v>74.2412</v>
      </c>
      <c r="N12" s="1" t="n">
        <v>61</v>
      </c>
      <c r="O12" s="2" t="n">
        <f aca="false">(L12-L$4)/SQRT(M12^2/N12+M$4^2/N$4)</f>
        <v>1.17594744013164</v>
      </c>
      <c r="P12" s="1"/>
      <c r="Q12" s="1" t="n">
        <v>134.6393</v>
      </c>
      <c r="R12" s="1" t="n">
        <v>181.4742</v>
      </c>
      <c r="S12" s="1" t="n">
        <v>61</v>
      </c>
      <c r="T12" s="2" t="n">
        <f aca="false">(Q12-Q$4)/SQRT(R12^2/S12+R$4^2/S$4)</f>
        <v>-0.964061782286608</v>
      </c>
      <c r="U12" s="1"/>
      <c r="V12" s="1" t="n">
        <v>68.8852</v>
      </c>
      <c r="W12" s="1" t="n">
        <v>86.5993</v>
      </c>
      <c r="X12" s="1" t="n">
        <v>61</v>
      </c>
      <c r="Y12" s="2" t="n">
        <f aca="false">(V12-V$4)/SQRT(W12^2/X12+W$4^2/X$4)</f>
        <v>0.795978923713935</v>
      </c>
      <c r="Z12" s="1"/>
      <c r="AA12" s="1" t="n">
        <f aca="false">V12+Q12+L12+G12+B12</f>
        <v>1439.9999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14.65" hidden="false" customHeight="false" outlineLevel="0" collapsed="false">
      <c r="A13" s="1" t="s">
        <v>13</v>
      </c>
      <c r="B13" s="1" t="n">
        <v>1194.44</v>
      </c>
      <c r="C13" s="1" t="n">
        <v>177.7857</v>
      </c>
      <c r="D13" s="1" t="n">
        <v>75</v>
      </c>
      <c r="E13" s="2" t="n">
        <f aca="false">(B13-B$4)/SQRT(C13^2/D13+C$4^2/D$4)</f>
        <v>0.710896141718574</v>
      </c>
      <c r="F13" s="1"/>
      <c r="G13" s="1" t="n">
        <v>6.3733</v>
      </c>
      <c r="H13" s="1" t="n">
        <v>55.1947</v>
      </c>
      <c r="I13" s="1" t="n">
        <v>75</v>
      </c>
      <c r="J13" s="2" t="n">
        <f aca="false">(G13-G$4)/SQRT(H13^2/I13+H$4^2/I$4)</f>
        <v>-0.210532908539063</v>
      </c>
      <c r="K13" s="1"/>
      <c r="L13" s="1" t="n">
        <v>42.2267</v>
      </c>
      <c r="M13" s="1" t="n">
        <v>79.2515</v>
      </c>
      <c r="N13" s="1" t="n">
        <v>75</v>
      </c>
      <c r="O13" s="2" t="n">
        <f aca="false">(L13-L$4)/SQRT(M13^2/N13+M$4^2/N$4)</f>
        <v>0.720313776097194</v>
      </c>
      <c r="P13" s="1"/>
      <c r="Q13" s="1" t="n">
        <v>131.9467</v>
      </c>
      <c r="R13" s="1" t="n">
        <v>149.4248</v>
      </c>
      <c r="S13" s="1" t="n">
        <v>75</v>
      </c>
      <c r="T13" s="2" t="n">
        <f aca="false">(Q13-Q$4)/SQRT(R13^2/S13+R$4^2/S$4)</f>
        <v>-1.42029752909076</v>
      </c>
      <c r="U13" s="1"/>
      <c r="V13" s="1" t="n">
        <v>65.0133</v>
      </c>
      <c r="W13" s="1" t="n">
        <v>72.4821</v>
      </c>
      <c r="X13" s="1" t="n">
        <v>75</v>
      </c>
      <c r="Y13" s="2" t="n">
        <f aca="false">(V13-V$4)/SQRT(W13^2/X13+W$4^2/X$4)</f>
        <v>0.592259697172017</v>
      </c>
      <c r="Z13" s="1"/>
      <c r="AA13" s="1" t="n">
        <f aca="false">V13+Q13+L13+G13+B13</f>
        <v>1440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customFormat="false" ht="14.65" hidden="false" customHeight="false" outlineLevel="0" collapsed="false">
      <c r="A14" s="1" t="s">
        <v>14</v>
      </c>
      <c r="B14" s="1" t="n">
        <v>1211.0297</v>
      </c>
      <c r="C14" s="1" t="n">
        <v>194.1689</v>
      </c>
      <c r="D14" s="1" t="n">
        <v>101</v>
      </c>
      <c r="E14" s="2" t="n">
        <f aca="false">(B14-B$4)/SQRT(C14^2/D14+C$4^2/D$4)</f>
        <v>1.56887594272319</v>
      </c>
      <c r="F14" s="1"/>
      <c r="G14" s="1" t="n">
        <v>3.0693</v>
      </c>
      <c r="H14" s="1" t="n">
        <v>30.8462</v>
      </c>
      <c r="I14" s="1" t="n">
        <v>101</v>
      </c>
      <c r="J14" s="2" t="n">
        <f aca="false">(G14-G$4)/SQRT(H14^2/I14+H$4^2/I$4)</f>
        <v>-1.32096940360152</v>
      </c>
      <c r="K14" s="1"/>
      <c r="L14" s="1" t="n">
        <v>42.495</v>
      </c>
      <c r="M14" s="1" t="n">
        <v>63.7518</v>
      </c>
      <c r="N14" s="1" t="n">
        <v>101</v>
      </c>
      <c r="O14" s="2" t="n">
        <f aca="false">(L14-L$4)/SQRT(M14^2/N14+M$4^2/N$4)</f>
        <v>1.05494041787097</v>
      </c>
      <c r="P14" s="1"/>
      <c r="Q14" s="1" t="n">
        <v>128.3663</v>
      </c>
      <c r="R14" s="1" t="n">
        <v>165.5561</v>
      </c>
      <c r="S14" s="1" t="n">
        <v>101</v>
      </c>
      <c r="T14" s="2" t="n">
        <f aca="false">(Q14-Q$4)/SQRT(R14^2/S14+R$4^2/S$4)</f>
        <v>-1.68740006622856</v>
      </c>
      <c r="U14" s="1"/>
      <c r="V14" s="1" t="n">
        <v>55.0396</v>
      </c>
      <c r="W14" s="1" t="n">
        <v>63.4342</v>
      </c>
      <c r="X14" s="1" t="n">
        <v>101</v>
      </c>
      <c r="Y14" s="2" t="n">
        <f aca="false">(V14-V$4)/SQRT(W14^2/X14+W$4^2/X$4)</f>
        <v>-0.733328700121542</v>
      </c>
      <c r="Z14" s="1"/>
      <c r="AA14" s="1" t="n">
        <f aca="false">V14+Q14+L14+G14+B14</f>
        <v>1439.9999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customFormat="false" ht="14.65" hidden="false" customHeight="false" outlineLevel="0" collapsed="false">
      <c r="A15" s="1" t="s">
        <v>15</v>
      </c>
      <c r="B15" s="1" t="n">
        <v>1234.2542</v>
      </c>
      <c r="C15" s="1" t="n">
        <v>165.0689</v>
      </c>
      <c r="D15" s="1" t="n">
        <v>118</v>
      </c>
      <c r="E15" s="2" t="n">
        <f aca="false">(B15-B$4)/SQRT(C15^2/D15+C$4^2/D$4)</f>
        <v>3.35465311560169</v>
      </c>
      <c r="F15" s="1"/>
      <c r="G15" s="1" t="n">
        <v>0</v>
      </c>
      <c r="H15" s="1" t="n">
        <v>0</v>
      </c>
      <c r="I15" s="1" t="n">
        <v>118</v>
      </c>
      <c r="J15" s="2" t="n">
        <f aca="false">(G15-G$4)/SQRT(H15^2/I15+H$4^2/I$4)</f>
        <v>-4.32296255436256</v>
      </c>
      <c r="K15" s="1"/>
      <c r="L15" s="1" t="n">
        <v>27.5508</v>
      </c>
      <c r="M15" s="1" t="n">
        <v>51.569</v>
      </c>
      <c r="N15" s="1" t="n">
        <v>118</v>
      </c>
      <c r="O15" s="2" t="n">
        <f aca="false">(L15-L$4)/SQRT(M15^2/N15+M$4^2/N$4)</f>
        <v>-1.54016323746237</v>
      </c>
      <c r="P15" s="1"/>
      <c r="Q15" s="1" t="n">
        <v>124.1441</v>
      </c>
      <c r="R15" s="1" t="n">
        <v>136.5228</v>
      </c>
      <c r="S15" s="1" t="n">
        <v>118</v>
      </c>
      <c r="T15" s="2" t="n">
        <f aca="false">(Q15-Q$4)/SQRT(R15^2/S15+R$4^2/S$4)</f>
        <v>-2.44533419710704</v>
      </c>
      <c r="U15" s="1"/>
      <c r="V15" s="1" t="n">
        <v>54.0508</v>
      </c>
      <c r="W15" s="1" t="n">
        <v>66.6357</v>
      </c>
      <c r="X15" s="1" t="n">
        <v>118</v>
      </c>
      <c r="Y15" s="2" t="n">
        <f aca="false">(V15-V$4)/SQRT(W15^2/X15+W$4^2/X$4)</f>
        <v>-0.905248181872321</v>
      </c>
      <c r="Z15" s="1"/>
      <c r="AA15" s="1" t="n">
        <f aca="false">V15+Q15+L15+G15+B15</f>
        <v>1439.9999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customFormat="false" ht="14.6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6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V4" activeCellId="0" sqref="V4:V15 V4:V15"/>
    </sheetView>
  </sheetViews>
  <sheetFormatPr defaultColWidth="11.421875" defaultRowHeight="14.65" customHeight="false" zeroHeight="false" outlineLevelRow="0" outlineLevelCol="0"/>
  <sheetData>
    <row r="1" customFormat="false" ht="14.65" hidden="false" customHeight="false" outlineLevel="0" collapsed="false">
      <c r="A1" s="1"/>
      <c r="B1" s="1" t="s">
        <v>0</v>
      </c>
      <c r="C1" s="1"/>
      <c r="D1" s="1"/>
      <c r="E1" s="1"/>
      <c r="F1" s="1"/>
      <c r="G1" s="1" t="s">
        <v>16</v>
      </c>
      <c r="H1" s="1"/>
      <c r="I1" s="1"/>
      <c r="J1" s="1"/>
      <c r="K1" s="1"/>
      <c r="L1" s="1" t="s">
        <v>17</v>
      </c>
      <c r="M1" s="1"/>
      <c r="N1" s="1"/>
      <c r="O1" s="1"/>
      <c r="P1" s="1"/>
      <c r="Q1" s="1" t="s">
        <v>20</v>
      </c>
      <c r="R1" s="1"/>
      <c r="S1" s="1"/>
      <c r="T1" s="1"/>
      <c r="U1" s="1"/>
      <c r="V1" s="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customFormat="false" ht="14.65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/>
      <c r="G2" s="1" t="s">
        <v>23</v>
      </c>
      <c r="H2" s="1" t="s">
        <v>24</v>
      </c>
      <c r="I2" s="1" t="s">
        <v>25</v>
      </c>
      <c r="J2" s="1"/>
      <c r="K2" s="1"/>
      <c r="L2" s="1" t="s">
        <v>23</v>
      </c>
      <c r="M2" s="1" t="s">
        <v>24</v>
      </c>
      <c r="N2" s="1" t="s">
        <v>25</v>
      </c>
      <c r="O2" s="1"/>
      <c r="P2" s="1"/>
      <c r="Q2" s="1" t="s">
        <v>23</v>
      </c>
      <c r="R2" s="1" t="s">
        <v>24</v>
      </c>
      <c r="S2" s="1" t="s">
        <v>25</v>
      </c>
      <c r="T2" s="1"/>
      <c r="U2" s="1"/>
      <c r="V2" s="1" t="s">
        <v>23</v>
      </c>
      <c r="W2" s="1" t="s">
        <v>24</v>
      </c>
      <c r="X2" s="1" t="s">
        <v>25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</row>
    <row r="3" customFormat="false" ht="14.6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customFormat="false" ht="14.65" hidden="false" customHeight="false" outlineLevel="0" collapsed="false">
      <c r="A4" s="1" t="s">
        <v>5</v>
      </c>
      <c r="B4" s="1" t="n">
        <v>923.2232</v>
      </c>
      <c r="C4" s="1" t="n">
        <v>252.6334</v>
      </c>
      <c r="D4" s="1" t="n">
        <v>3656</v>
      </c>
      <c r="E4" s="1"/>
      <c r="F4" s="1"/>
      <c r="G4" s="1" t="n">
        <v>336.0845</v>
      </c>
      <c r="H4" s="1" t="n">
        <v>276.2167</v>
      </c>
      <c r="I4" s="1" t="n">
        <v>3656</v>
      </c>
      <c r="J4" s="1"/>
      <c r="K4" s="1"/>
      <c r="L4" s="1" t="n">
        <v>13.922</v>
      </c>
      <c r="M4" s="1" t="n">
        <v>46.1658</v>
      </c>
      <c r="N4" s="1" t="n">
        <v>3656</v>
      </c>
      <c r="O4" s="1"/>
      <c r="P4" s="1"/>
      <c r="Q4" s="1" t="n">
        <v>97.4352</v>
      </c>
      <c r="R4" s="1" t="n">
        <v>150.9923</v>
      </c>
      <c r="S4" s="1" t="n">
        <v>3656</v>
      </c>
      <c r="T4" s="1"/>
      <c r="U4" s="1"/>
      <c r="V4" s="1" t="n">
        <v>69.3351</v>
      </c>
      <c r="W4" s="1" t="n">
        <v>65.0494</v>
      </c>
      <c r="X4" s="1" t="n">
        <v>3656</v>
      </c>
      <c r="Y4" s="1"/>
      <c r="Z4" s="1"/>
      <c r="AA4" s="1" t="n">
        <f aca="false">V4+Q4+L4+G4+B4</f>
        <v>1440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</row>
    <row r="5" customFormat="false" ht="14.6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4.65" hidden="false" customHeight="false" outlineLevel="0" collapsed="false">
      <c r="A6" s="1" t="s">
        <v>6</v>
      </c>
      <c r="B6" s="1" t="n">
        <v>979.1818</v>
      </c>
      <c r="C6" s="1" t="n">
        <v>244.9472</v>
      </c>
      <c r="D6" s="1" t="n">
        <v>154</v>
      </c>
      <c r="E6" s="2" t="n">
        <f aca="false">(B6-B$4)/SQRT(C6^2/D6+C$4^2/D$4)</f>
        <v>2.77355365861253</v>
      </c>
      <c r="F6" s="1"/>
      <c r="G6" s="1" t="n">
        <v>224.9545</v>
      </c>
      <c r="H6" s="1" t="n">
        <v>254.5454</v>
      </c>
      <c r="I6" s="1" t="n">
        <v>154</v>
      </c>
      <c r="J6" s="2" t="n">
        <f aca="false">(G6-G$4)/SQRT(H6^2/I6+H$4^2/I$4)</f>
        <v>-5.28828020066564</v>
      </c>
      <c r="K6" s="1"/>
      <c r="L6" s="1" t="n">
        <v>9.013</v>
      </c>
      <c r="M6" s="1" t="n">
        <v>38.408</v>
      </c>
      <c r="N6" s="1" t="n">
        <v>154</v>
      </c>
      <c r="O6" s="2" t="n">
        <f aca="false">(L6-L$4)/SQRT(M6^2/N6+M$4^2/N$4)</f>
        <v>-1.53993800719638</v>
      </c>
      <c r="P6" s="1"/>
      <c r="Q6" s="1" t="n">
        <v>163.5909</v>
      </c>
      <c r="R6" s="1" t="n">
        <v>186.3905</v>
      </c>
      <c r="S6" s="1" t="n">
        <v>154</v>
      </c>
      <c r="T6" s="2" t="n">
        <f aca="false">(Q6-Q$4)/SQRT(R6^2/S6+R$4^2/S$4)</f>
        <v>4.34493053489716</v>
      </c>
      <c r="U6" s="1"/>
      <c r="V6" s="1" t="n">
        <v>63.2597</v>
      </c>
      <c r="W6" s="1" t="n">
        <v>78.5271</v>
      </c>
      <c r="X6" s="1" t="n">
        <v>154</v>
      </c>
      <c r="Y6" s="2" t="n">
        <f aca="false">(V6-V$4)/SQRT(W6^2/X6+W$4^2/X$4)</f>
        <v>-0.946516508855951</v>
      </c>
      <c r="Z6" s="1"/>
      <c r="AA6" s="1" t="n">
        <f aca="false">V6+Q6+L6+G6+B6</f>
        <v>1439.9999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customFormat="false" ht="14.65" hidden="false" customHeight="false" outlineLevel="0" collapsed="false">
      <c r="A7" s="1" t="s">
        <v>7</v>
      </c>
      <c r="B7" s="1" t="n">
        <v>925.0776</v>
      </c>
      <c r="C7" s="1" t="n">
        <v>258.5142</v>
      </c>
      <c r="D7" s="1" t="n">
        <v>438</v>
      </c>
      <c r="E7" s="2" t="n">
        <f aca="false">(B7-B$4)/SQRT(C7^2/D7+C$4^2/D$4)</f>
        <v>0.142210844228605</v>
      </c>
      <c r="F7" s="1"/>
      <c r="G7" s="1" t="n">
        <v>317.1187</v>
      </c>
      <c r="H7" s="1" t="n">
        <v>277.1764</v>
      </c>
      <c r="I7" s="1" t="n">
        <v>438</v>
      </c>
      <c r="J7" s="2" t="n">
        <f aca="false">(G7-G$4)/SQRT(H7^2/I7+H$4^2/I$4)</f>
        <v>-1.35376038956251</v>
      </c>
      <c r="K7" s="1"/>
      <c r="L7" s="1" t="n">
        <v>13.6689</v>
      </c>
      <c r="M7" s="1" t="n">
        <v>54.7555</v>
      </c>
      <c r="N7" s="1" t="n">
        <v>438</v>
      </c>
      <c r="O7" s="2" t="n">
        <f aca="false">(L7-L$4)/SQRT(M7^2/N7+M$4^2/N$4)</f>
        <v>-0.0928653876682592</v>
      </c>
      <c r="P7" s="1"/>
      <c r="Q7" s="1" t="n">
        <v>118.5502</v>
      </c>
      <c r="R7" s="1" t="n">
        <v>167.5537</v>
      </c>
      <c r="S7" s="1" t="n">
        <v>438</v>
      </c>
      <c r="T7" s="2" t="n">
        <f aca="false">(Q7-Q$4)/SQRT(R7^2/S7+R$4^2/S$4)</f>
        <v>2.51775432806934</v>
      </c>
      <c r="U7" s="1"/>
      <c r="V7" s="1" t="n">
        <v>65.5845</v>
      </c>
      <c r="W7" s="1" t="n">
        <v>59.8922</v>
      </c>
      <c r="X7" s="1" t="n">
        <v>438</v>
      </c>
      <c r="Y7" s="2" t="n">
        <f aca="false">(V7-V$4)/SQRT(W7^2/X7+W$4^2/X$4)</f>
        <v>-1.22677010328924</v>
      </c>
      <c r="Z7" s="1"/>
      <c r="AA7" s="1" t="n">
        <f aca="false">V7+Q7+L7+G7+B7</f>
        <v>1439.9999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</row>
    <row r="8" customFormat="false" ht="14.65" hidden="false" customHeight="false" outlineLevel="0" collapsed="false">
      <c r="A8" s="1" t="s">
        <v>8</v>
      </c>
      <c r="B8" s="1" t="n">
        <v>897.4852</v>
      </c>
      <c r="C8" s="1" t="n">
        <v>250.1005</v>
      </c>
      <c r="D8" s="1" t="n">
        <v>608</v>
      </c>
      <c r="E8" s="2" t="n">
        <f aca="false">(B8-B$4)/SQRT(C8^2/D8+C$4^2/D$4)</f>
        <v>-2.34626523197047</v>
      </c>
      <c r="F8" s="1"/>
      <c r="G8" s="1" t="n">
        <v>354.4868</v>
      </c>
      <c r="H8" s="1" t="n">
        <v>279.4103</v>
      </c>
      <c r="I8" s="1" t="n">
        <v>608</v>
      </c>
      <c r="J8" s="2" t="n">
        <f aca="false">(G8-G$4)/SQRT(H8^2/I8+H$4^2/I$4)</f>
        <v>1.50619386732722</v>
      </c>
      <c r="K8" s="1"/>
      <c r="L8" s="1" t="n">
        <v>13.6661</v>
      </c>
      <c r="M8" s="1" t="n">
        <v>50.4543</v>
      </c>
      <c r="N8" s="1" t="n">
        <v>608</v>
      </c>
      <c r="O8" s="2" t="n">
        <f aca="false">(L8-L$4)/SQRT(M8^2/N8+M$4^2/N$4)</f>
        <v>-0.117170325974134</v>
      </c>
      <c r="P8" s="1"/>
      <c r="Q8" s="1" t="n">
        <v>105.1974</v>
      </c>
      <c r="R8" s="1" t="n">
        <v>158.5354</v>
      </c>
      <c r="S8" s="1" t="n">
        <v>608</v>
      </c>
      <c r="T8" s="2" t="n">
        <f aca="false">(Q8-Q$4)/SQRT(R8^2/S8+R$4^2/S$4)</f>
        <v>1.12538313674781</v>
      </c>
      <c r="U8" s="1"/>
      <c r="V8" s="1" t="n">
        <v>69.1645</v>
      </c>
      <c r="W8" s="1" t="n">
        <v>59.7706</v>
      </c>
      <c r="X8" s="1" t="n">
        <v>608</v>
      </c>
      <c r="Y8" s="2" t="n">
        <f aca="false">(V8-V$4)/SQRT(W8^2/X8+W$4^2/X$4)</f>
        <v>-0.0643281193803937</v>
      </c>
      <c r="Z8" s="1"/>
      <c r="AA8" s="1" t="n">
        <f aca="false">V8+Q8+L8+G8+B8</f>
        <v>1440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</row>
    <row r="9" customFormat="false" ht="14.65" hidden="false" customHeight="false" outlineLevel="0" collapsed="false">
      <c r="A9" s="1" t="s">
        <v>9</v>
      </c>
      <c r="B9" s="1" t="n">
        <v>913.3218</v>
      </c>
      <c r="C9" s="1" t="n">
        <v>251.3167</v>
      </c>
      <c r="D9" s="1" t="n">
        <v>609</v>
      </c>
      <c r="E9" s="2" t="n">
        <f aca="false">(B9-B$4)/SQRT(C9^2/D9+C$4^2/D$4)</f>
        <v>-0.899501669047392</v>
      </c>
      <c r="F9" s="1"/>
      <c r="G9" s="1" t="n">
        <v>344.578</v>
      </c>
      <c r="H9" s="1" t="n">
        <v>276.0795</v>
      </c>
      <c r="I9" s="1" t="n">
        <v>609</v>
      </c>
      <c r="J9" s="2" t="n">
        <f aca="false">(G9-G$4)/SQRT(H9^2/I9+H$4^2/I$4)</f>
        <v>0.702868257043549</v>
      </c>
      <c r="K9" s="1"/>
      <c r="L9" s="1" t="n">
        <v>15.4335</v>
      </c>
      <c r="M9" s="1" t="n">
        <v>50.6228</v>
      </c>
      <c r="N9" s="1" t="n">
        <v>609</v>
      </c>
      <c r="O9" s="2" t="n">
        <f aca="false">(L9-L$4)/SQRT(M9^2/N9+M$4^2/N$4)</f>
        <v>0.690553676755564</v>
      </c>
      <c r="P9" s="1"/>
      <c r="Q9" s="1" t="n">
        <v>96.4417</v>
      </c>
      <c r="R9" s="1" t="n">
        <v>149.1609</v>
      </c>
      <c r="S9" s="1" t="n">
        <v>609</v>
      </c>
      <c r="T9" s="2" t="n">
        <f aca="false">(Q9-Q$4)/SQRT(R9^2/S9+R$4^2/S$4)</f>
        <v>-0.151914901367647</v>
      </c>
      <c r="U9" s="1"/>
      <c r="V9" s="1" t="n">
        <v>70.225</v>
      </c>
      <c r="W9" s="1" t="n">
        <v>71.7943</v>
      </c>
      <c r="X9" s="1" t="n">
        <v>609</v>
      </c>
      <c r="Y9" s="2" t="n">
        <f aca="false">(V9-V$4)/SQRT(W9^2/X9+W$4^2/X$4)</f>
        <v>0.286898304599107</v>
      </c>
      <c r="Z9" s="1"/>
      <c r="AA9" s="1" t="n">
        <f aca="false">V9+Q9+L9+G9+B9</f>
        <v>1440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</row>
    <row r="10" customFormat="false" ht="14.65" hidden="false" customHeight="false" outlineLevel="0" collapsed="false">
      <c r="A10" s="1" t="s">
        <v>10</v>
      </c>
      <c r="B10" s="1" t="n">
        <v>922.6126</v>
      </c>
      <c r="C10" s="1" t="n">
        <v>257.6435</v>
      </c>
      <c r="D10" s="1" t="n">
        <v>506</v>
      </c>
      <c r="E10" s="2" t="n">
        <f aca="false">(B10-B$4)/SQRT(C10^2/D10+C$4^2/D$4)</f>
        <v>-0.050082277170318</v>
      </c>
      <c r="F10" s="1"/>
      <c r="G10" s="1" t="n">
        <v>349.1719</v>
      </c>
      <c r="H10" s="1" t="n">
        <v>275.1732</v>
      </c>
      <c r="I10" s="1" t="n">
        <v>506</v>
      </c>
      <c r="J10" s="2" t="n">
        <f aca="false">(G10-G$4)/SQRT(H10^2/I10+H$4^2/I$4)</f>
        <v>1.00224533529756</v>
      </c>
      <c r="K10" s="1"/>
      <c r="L10" s="1" t="n">
        <v>13.6542</v>
      </c>
      <c r="M10" s="1" t="n">
        <v>35.9389</v>
      </c>
      <c r="N10" s="1" t="n">
        <v>506</v>
      </c>
      <c r="O10" s="2" t="n">
        <f aca="false">(L10-L$4)/SQRT(M10^2/N10+M$4^2/N$4)</f>
        <v>-0.151235909036318</v>
      </c>
      <c r="P10" s="1"/>
      <c r="Q10" s="1" t="n">
        <v>82.9822</v>
      </c>
      <c r="R10" s="1" t="n">
        <v>139.6995</v>
      </c>
      <c r="S10" s="1" t="n">
        <v>506</v>
      </c>
      <c r="T10" s="2" t="n">
        <f aca="false">(Q10-Q$4)/SQRT(R10^2/S10+R$4^2/S$4)</f>
        <v>-2.15920860102902</v>
      </c>
      <c r="U10" s="1"/>
      <c r="V10" s="1" t="n">
        <v>71.5791</v>
      </c>
      <c r="W10" s="1" t="n">
        <v>65.6636</v>
      </c>
      <c r="X10" s="1" t="n">
        <v>506</v>
      </c>
      <c r="Y10" s="2" t="n">
        <f aca="false">(V10-V$4)/SQRT(W10^2/X10+W$4^2/X$4)</f>
        <v>0.72130277130238</v>
      </c>
      <c r="Z10" s="1"/>
      <c r="AA10" s="1" t="n">
        <f aca="false">V10+Q10+L10+G10+B10</f>
        <v>1440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14.65" hidden="false" customHeight="false" outlineLevel="0" collapsed="false">
      <c r="A11" s="1" t="s">
        <v>11</v>
      </c>
      <c r="B11" s="1" t="n">
        <v>931.6706</v>
      </c>
      <c r="C11" s="1" t="n">
        <v>256.7581</v>
      </c>
      <c r="D11" s="1" t="n">
        <v>425</v>
      </c>
      <c r="E11" s="2" t="n">
        <f aca="false">(B11-B$4)/SQRT(C11^2/D11+C$4^2/D$4)</f>
        <v>0.643035716164593</v>
      </c>
      <c r="F11" s="1"/>
      <c r="G11" s="1" t="n">
        <v>333.8729</v>
      </c>
      <c r="H11" s="1" t="n">
        <v>281.7207</v>
      </c>
      <c r="I11" s="1" t="n">
        <v>425</v>
      </c>
      <c r="J11" s="2" t="n">
        <f aca="false">(G11-G$4)/SQRT(H11^2/I11+H$4^2/I$4)</f>
        <v>-0.153489559998515</v>
      </c>
      <c r="K11" s="1"/>
      <c r="L11" s="1" t="n">
        <v>13.7012</v>
      </c>
      <c r="M11" s="1" t="n">
        <v>42.7135</v>
      </c>
      <c r="N11" s="1" t="n">
        <v>425</v>
      </c>
      <c r="O11" s="2" t="n">
        <f aca="false">(L11-L$4)/SQRT(M11^2/N11+M$4^2/N$4)</f>
        <v>-0.0999948970922716</v>
      </c>
      <c r="P11" s="1"/>
      <c r="Q11" s="1" t="n">
        <v>91.5765</v>
      </c>
      <c r="R11" s="1" t="n">
        <v>145.3355</v>
      </c>
      <c r="S11" s="1" t="n">
        <v>425</v>
      </c>
      <c r="T11" s="2" t="n">
        <f aca="false">(Q11-Q$4)/SQRT(R11^2/S11+R$4^2/S$4)</f>
        <v>-0.783351268959481</v>
      </c>
      <c r="U11" s="1"/>
      <c r="V11" s="1" t="n">
        <v>69.1788</v>
      </c>
      <c r="W11" s="1" t="n">
        <v>61.4968</v>
      </c>
      <c r="X11" s="1" t="n">
        <v>425</v>
      </c>
      <c r="Y11" s="2" t="n">
        <f aca="false">(V11-V$4)/SQRT(W11^2/X11+W$4^2/X$4)</f>
        <v>-0.0492888847358026</v>
      </c>
      <c r="Z11" s="1"/>
      <c r="AA11" s="1" t="n">
        <f aca="false">V11+Q11+L11+G11+B11</f>
        <v>1440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4.65" hidden="false" customHeight="false" outlineLevel="0" collapsed="false">
      <c r="A12" s="1" t="s">
        <v>12</v>
      </c>
      <c r="B12" s="1" t="n">
        <v>917.9457</v>
      </c>
      <c r="C12" s="1" t="n">
        <v>249.4938</v>
      </c>
      <c r="D12" s="1" t="n">
        <v>350</v>
      </c>
      <c r="E12" s="2" t="n">
        <f aca="false">(B12-B$4)/SQRT(C12^2/D12+C$4^2/D$4)</f>
        <v>-0.377633203816786</v>
      </c>
      <c r="F12" s="1"/>
      <c r="G12" s="1" t="n">
        <v>342.2829</v>
      </c>
      <c r="H12" s="1" t="n">
        <v>271.6686</v>
      </c>
      <c r="I12" s="1" t="n">
        <v>350</v>
      </c>
      <c r="J12" s="2" t="n">
        <f aca="false">(G12-G$4)/SQRT(H12^2/I12+H$4^2/I$4)</f>
        <v>0.407176018834234</v>
      </c>
      <c r="K12" s="1"/>
      <c r="L12" s="1" t="n">
        <v>11.2486</v>
      </c>
      <c r="M12" s="1" t="n">
        <v>33.3294</v>
      </c>
      <c r="N12" s="1" t="n">
        <v>350</v>
      </c>
      <c r="O12" s="2" t="n">
        <f aca="false">(L12-L$4)/SQRT(M12^2/N12+M$4^2/N$4)</f>
        <v>-1.37928630138932</v>
      </c>
      <c r="P12" s="1"/>
      <c r="Q12" s="1" t="n">
        <v>91.1429</v>
      </c>
      <c r="R12" s="1" t="n">
        <v>143.9641</v>
      </c>
      <c r="S12" s="1" t="n">
        <v>350</v>
      </c>
      <c r="T12" s="2" t="n">
        <f aca="false">(Q12-Q$4)/SQRT(R12^2/S12+R$4^2/S$4)</f>
        <v>-0.777763394712121</v>
      </c>
      <c r="U12" s="1"/>
      <c r="V12" s="1" t="n">
        <v>77.38</v>
      </c>
      <c r="W12" s="1" t="n">
        <v>76.3928</v>
      </c>
      <c r="X12" s="1" t="n">
        <v>350</v>
      </c>
      <c r="Y12" s="2" t="n">
        <f aca="false">(V12-V$4)/SQRT(W12^2/X12+W$4^2/X$4)</f>
        <v>1.90515109290368</v>
      </c>
      <c r="Z12" s="1"/>
      <c r="AA12" s="1" t="n">
        <f aca="false">V12+Q12+L12+G12+B12</f>
        <v>1440.0001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14.65" hidden="false" customHeight="false" outlineLevel="0" collapsed="false">
      <c r="A13" s="1" t="s">
        <v>13</v>
      </c>
      <c r="B13" s="1" t="n">
        <v>914.45</v>
      </c>
      <c r="C13" s="1" t="n">
        <v>243.835</v>
      </c>
      <c r="D13" s="1" t="n">
        <v>260</v>
      </c>
      <c r="E13" s="2" t="n">
        <f aca="false">(B13-B$4)/SQRT(C13^2/D13+C$4^2/D$4)</f>
        <v>-0.559208496957796</v>
      </c>
      <c r="F13" s="1"/>
      <c r="G13" s="1" t="n">
        <v>352.4038</v>
      </c>
      <c r="H13" s="1" t="n">
        <v>272.9875</v>
      </c>
      <c r="I13" s="1" t="n">
        <v>260</v>
      </c>
      <c r="J13" s="2" t="n">
        <f aca="false">(G13-G$4)/SQRT(H13^2/I13+H$4^2/I$4)</f>
        <v>0.930645658451551</v>
      </c>
      <c r="K13" s="1"/>
      <c r="L13" s="1" t="n">
        <v>13.6731</v>
      </c>
      <c r="M13" s="1" t="n">
        <v>36.1987</v>
      </c>
      <c r="N13" s="1" t="n">
        <v>260</v>
      </c>
      <c r="O13" s="2" t="n">
        <f aca="false">(L13-L$4)/SQRT(M13^2/N13+M$4^2/N$4)</f>
        <v>-0.104966485485615</v>
      </c>
      <c r="P13" s="1"/>
      <c r="Q13" s="1" t="n">
        <v>91.6269</v>
      </c>
      <c r="R13" s="1" t="n">
        <v>150.0147</v>
      </c>
      <c r="S13" s="1" t="n">
        <v>260</v>
      </c>
      <c r="T13" s="2" t="n">
        <f aca="false">(Q13-Q$4)/SQRT(R13^2/S13+R$4^2/S$4)</f>
        <v>-0.602969313678838</v>
      </c>
      <c r="U13" s="1"/>
      <c r="V13" s="1" t="n">
        <v>67.8462</v>
      </c>
      <c r="W13" s="1" t="n">
        <v>53.5531</v>
      </c>
      <c r="X13" s="1" t="n">
        <v>260</v>
      </c>
      <c r="Y13" s="2" t="n">
        <f aca="false">(V13-V$4)/SQRT(W13^2/X13+W$4^2/X$4)</f>
        <v>-0.426482214992633</v>
      </c>
      <c r="Z13" s="1"/>
      <c r="AA13" s="1" t="n">
        <f aca="false">V13+Q13+L13+G13+B13</f>
        <v>1440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</row>
    <row r="14" customFormat="false" ht="14.65" hidden="false" customHeight="false" outlineLevel="0" collapsed="false">
      <c r="A14" s="1" t="s">
        <v>14</v>
      </c>
      <c r="B14" s="1" t="n">
        <v>961.7539</v>
      </c>
      <c r="C14" s="1" t="n">
        <v>249.3848</v>
      </c>
      <c r="D14" s="1" t="n">
        <v>191</v>
      </c>
      <c r="E14" s="2" t="n">
        <f aca="false">(B14-B$4)/SQRT(C14^2/D14+C$4^2/D$4)</f>
        <v>2.08023824787869</v>
      </c>
      <c r="F14" s="1"/>
      <c r="G14" s="1" t="n">
        <v>335.9948</v>
      </c>
      <c r="H14" s="1" t="n">
        <v>275.9689</v>
      </c>
      <c r="I14" s="1" t="n">
        <v>191</v>
      </c>
      <c r="J14" s="2" t="n">
        <f aca="false">(G14-G$4)/SQRT(H14^2/I14+H$4^2/I$4)</f>
        <v>-0.0043789664249541</v>
      </c>
      <c r="K14" s="1"/>
      <c r="L14" s="1" t="n">
        <v>18.7749</v>
      </c>
      <c r="M14" s="1" t="n">
        <v>61.5341</v>
      </c>
      <c r="N14" s="1" t="n">
        <v>191</v>
      </c>
      <c r="O14" s="2" t="n">
        <f aca="false">(L14-L$4)/SQRT(M14^2/N14+M$4^2/N$4)</f>
        <v>1.07425855676744</v>
      </c>
      <c r="P14" s="1"/>
      <c r="Q14" s="1" t="n">
        <v>58.8848</v>
      </c>
      <c r="R14" s="1" t="n">
        <v>96.5393</v>
      </c>
      <c r="S14" s="1" t="n">
        <v>191</v>
      </c>
      <c r="T14" s="2" t="n">
        <f aca="false">(Q14-Q$4)/SQRT(R14^2/S14+R$4^2/S$4)</f>
        <v>-5.19667450595276</v>
      </c>
      <c r="U14" s="1"/>
      <c r="V14" s="1" t="n">
        <v>64.5916</v>
      </c>
      <c r="W14" s="1" t="n">
        <v>59.5194</v>
      </c>
      <c r="X14" s="1" t="n">
        <v>191</v>
      </c>
      <c r="Y14" s="2" t="n">
        <f aca="false">(V14-V$4)/SQRT(W14^2/X14+W$4^2/X$4)</f>
        <v>-1.06859381921054</v>
      </c>
      <c r="Z14" s="1"/>
      <c r="AA14" s="1" t="n">
        <f aca="false">V14+Q14+L14+G14+B14</f>
        <v>1440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</row>
    <row r="15" customFormat="false" ht="14.65" hidden="false" customHeight="false" outlineLevel="0" collapsed="false">
      <c r="A15" s="1" t="s">
        <v>15</v>
      </c>
      <c r="B15" s="1" t="n">
        <v>973.1043</v>
      </c>
      <c r="C15" s="1" t="n">
        <v>239.363</v>
      </c>
      <c r="D15" s="1" t="n">
        <v>115</v>
      </c>
      <c r="E15" s="2" t="n">
        <f aca="false">(B15-B$4)/SQRT(C15^2/D15+C$4^2/D$4)</f>
        <v>2.19659221396159</v>
      </c>
      <c r="F15" s="1"/>
      <c r="G15" s="1" t="n">
        <v>309.8435</v>
      </c>
      <c r="H15" s="1" t="n">
        <v>259.2969</v>
      </c>
      <c r="I15" s="1" t="n">
        <v>115</v>
      </c>
      <c r="J15" s="2" t="n">
        <f aca="false">(G15-G$4)/SQRT(H15^2/I15+H$4^2/I$4)</f>
        <v>-1.06639037902686</v>
      </c>
      <c r="K15" s="1"/>
      <c r="L15" s="1" t="n">
        <v>17.4435</v>
      </c>
      <c r="M15" s="1" t="n">
        <v>48.1803</v>
      </c>
      <c r="N15" s="1" t="n">
        <v>115</v>
      </c>
      <c r="O15" s="2" t="n">
        <f aca="false">(L15-L$4)/SQRT(M15^2/N15+M$4^2/N$4)</f>
        <v>0.772724716397677</v>
      </c>
      <c r="P15" s="1"/>
      <c r="Q15" s="1" t="n">
        <v>74.2</v>
      </c>
      <c r="R15" s="1" t="n">
        <v>129.8591</v>
      </c>
      <c r="S15" s="1" t="n">
        <v>115</v>
      </c>
      <c r="T15" s="2" t="n">
        <f aca="false">(Q15-Q$4)/SQRT(R15^2/S15+R$4^2/S$4)</f>
        <v>-1.87922793465635</v>
      </c>
      <c r="U15" s="1"/>
      <c r="V15" s="1" t="n">
        <v>65.4087</v>
      </c>
      <c r="W15" s="1" t="n">
        <v>57.3323</v>
      </c>
      <c r="X15" s="1" t="n">
        <v>115</v>
      </c>
      <c r="Y15" s="2" t="n">
        <f aca="false">(V15-V$4)/SQRT(W15^2/X15+W$4^2/X$4)</f>
        <v>-0.719986782363799</v>
      </c>
      <c r="Z15" s="1"/>
      <c r="AA15" s="1" t="n">
        <f aca="false">V15+Q15+L15+G15+B15</f>
        <v>1440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</row>
    <row r="16" customFormat="false" ht="14.6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V4" activeCellId="0" sqref="V4:V15 V4:V15"/>
    </sheetView>
  </sheetViews>
  <sheetFormatPr defaultColWidth="10.70703125" defaultRowHeight="14.65" customHeight="false" zeroHeight="false" outlineLevelRow="0" outlineLevelCol="0"/>
  <cols>
    <col collapsed="false" customWidth="false" hidden="false" outlineLevel="0" max="26" min="1" style="1" width="10.71"/>
    <col collapsed="false" customWidth="true" hidden="false" outlineLevel="0" max="27" min="27" style="0" width="11.42"/>
    <col collapsed="false" customWidth="false" hidden="false" outlineLevel="0" max="257" min="28" style="1" width="10.71"/>
  </cols>
  <sheetData>
    <row r="1" customFormat="false" ht="14.65" hidden="false" customHeight="false" outlineLevel="0" collapsed="false">
      <c r="B1" s="1" t="s">
        <v>0</v>
      </c>
      <c r="G1" s="1" t="s">
        <v>16</v>
      </c>
      <c r="L1" s="1" t="s">
        <v>17</v>
      </c>
      <c r="Q1" s="1" t="s">
        <v>20</v>
      </c>
      <c r="V1" s="1" t="s">
        <v>21</v>
      </c>
      <c r="AA1" s="1"/>
    </row>
    <row r="2" customFormat="false" ht="14.65" hidden="false" customHeight="false" outlineLevel="0" collapsed="false">
      <c r="A2" s="1" t="s">
        <v>22</v>
      </c>
      <c r="B2" s="1" t="s">
        <v>23</v>
      </c>
      <c r="C2" s="1" t="s">
        <v>24</v>
      </c>
      <c r="D2" s="1" t="s">
        <v>25</v>
      </c>
      <c r="G2" s="1" t="s">
        <v>23</v>
      </c>
      <c r="H2" s="1" t="s">
        <v>24</v>
      </c>
      <c r="I2" s="1" t="s">
        <v>25</v>
      </c>
      <c r="L2" s="1" t="s">
        <v>23</v>
      </c>
      <c r="M2" s="1" t="s">
        <v>24</v>
      </c>
      <c r="N2" s="1" t="s">
        <v>25</v>
      </c>
      <c r="Q2" s="1" t="s">
        <v>23</v>
      </c>
      <c r="R2" s="1" t="s">
        <v>24</v>
      </c>
      <c r="S2" s="1" t="s">
        <v>25</v>
      </c>
      <c r="V2" s="1" t="s">
        <v>23</v>
      </c>
      <c r="W2" s="1" t="s">
        <v>24</v>
      </c>
      <c r="X2" s="1" t="s">
        <v>25</v>
      </c>
      <c r="AA2" s="1"/>
    </row>
    <row r="3" customFormat="false" ht="14.65" hidden="false" customHeight="false" outlineLevel="0" collapsed="false">
      <c r="AA3" s="1"/>
    </row>
    <row r="4" customFormat="false" ht="14.65" hidden="false" customHeight="false" outlineLevel="0" collapsed="false">
      <c r="A4" s="1" t="s">
        <v>5</v>
      </c>
      <c r="B4" s="1" t="n">
        <v>963.8222</v>
      </c>
      <c r="C4" s="1" t="n">
        <v>239.7678</v>
      </c>
      <c r="D4" s="1" t="n">
        <v>3021</v>
      </c>
      <c r="G4" s="1" t="n">
        <v>290.3191</v>
      </c>
      <c r="H4" s="1" t="n">
        <v>255.9488</v>
      </c>
      <c r="I4" s="1" t="n">
        <v>3021</v>
      </c>
      <c r="L4" s="1" t="n">
        <v>25.5836</v>
      </c>
      <c r="M4" s="1" t="n">
        <v>64.2385</v>
      </c>
      <c r="N4" s="1" t="n">
        <v>3021</v>
      </c>
      <c r="Q4" s="1" t="n">
        <v>97.9341</v>
      </c>
      <c r="R4" s="0" t="n">
        <v>146.5176</v>
      </c>
      <c r="S4" s="0" t="n">
        <v>3021</v>
      </c>
      <c r="V4" s="0" t="n">
        <v>62.3409</v>
      </c>
      <c r="W4" s="0" t="n">
        <v>56.0784</v>
      </c>
      <c r="X4" s="0" t="n">
        <v>3021</v>
      </c>
      <c r="AA4" s="1" t="n">
        <f aca="false">V4+Q4+L4+G4+B4</f>
        <v>1439.9999</v>
      </c>
    </row>
    <row r="5" customFormat="false" ht="14.65" hidden="false" customHeight="false" outlineLevel="0" collapsed="false">
      <c r="R5" s="0"/>
      <c r="S5" s="0"/>
      <c r="V5" s="0"/>
      <c r="W5" s="0"/>
      <c r="X5" s="0"/>
      <c r="AA5" s="1"/>
    </row>
    <row r="6" customFormat="false" ht="14.65" hidden="false" customHeight="false" outlineLevel="0" collapsed="false">
      <c r="A6" s="1" t="s">
        <v>6</v>
      </c>
      <c r="B6" s="1" t="n">
        <v>962.8098</v>
      </c>
      <c r="C6" s="1" t="n">
        <v>238.0774</v>
      </c>
      <c r="D6" s="1" t="n">
        <v>163</v>
      </c>
      <c r="E6" s="2" t="n">
        <f aca="false">(B6-B$4)/SQRT(C6^2/D6+C$4^2/D$4)</f>
        <v>-0.0528637830265027</v>
      </c>
      <c r="G6" s="1" t="n">
        <v>243.5951</v>
      </c>
      <c r="H6" s="1" t="n">
        <v>228.9801</v>
      </c>
      <c r="I6" s="1" t="n">
        <v>163</v>
      </c>
      <c r="J6" s="2" t="n">
        <f aca="false">(G6-G$4)/SQRT(H6^2/I6+H$4^2/I$4)</f>
        <v>-2.5215623336972</v>
      </c>
      <c r="L6" s="1" t="n">
        <v>22.3313</v>
      </c>
      <c r="M6" s="1" t="n">
        <v>83.594</v>
      </c>
      <c r="N6" s="1" t="n">
        <v>163</v>
      </c>
      <c r="O6" s="2" t="n">
        <f aca="false">(L6-L$4)/SQRT(M6^2/N6+M$4^2/N$4)</f>
        <v>-0.48898824240009</v>
      </c>
      <c r="Q6" s="1" t="n">
        <v>146.8466</v>
      </c>
      <c r="R6" s="0" t="n">
        <v>177.9931</v>
      </c>
      <c r="S6" s="0" t="n">
        <v>163</v>
      </c>
      <c r="T6" s="2" t="n">
        <f aca="false">(Q6-Q$4)/SQRT(R6^2/S6+R$4^2/S$4)</f>
        <v>3.44598357899487</v>
      </c>
      <c r="V6" s="0" t="n">
        <v>64.4172</v>
      </c>
      <c r="W6" s="0" t="n">
        <v>68.4328</v>
      </c>
      <c r="X6" s="0" t="n">
        <v>163</v>
      </c>
      <c r="Y6" s="2" t="n">
        <f aca="false">(V6-V$4)/SQRT(W6^2/X6+W$4^2/X$4)</f>
        <v>0.380531813507669</v>
      </c>
      <c r="AA6" s="1" t="n">
        <f aca="false">V6+Q6+L6+G6+B6</f>
        <v>1440</v>
      </c>
    </row>
    <row r="7" customFormat="false" ht="14.65" hidden="false" customHeight="false" outlineLevel="0" collapsed="false">
      <c r="A7" s="1" t="s">
        <v>7</v>
      </c>
      <c r="B7" s="1" t="n">
        <v>935.8686</v>
      </c>
      <c r="C7" s="1" t="n">
        <v>247.1951</v>
      </c>
      <c r="D7" s="1" t="n">
        <v>411</v>
      </c>
      <c r="E7" s="2" t="n">
        <f aca="false">(B7-B$4)/SQRT(C7^2/D7+C$4^2/D$4)</f>
        <v>-2.15856537804864</v>
      </c>
      <c r="G7" s="1" t="n">
        <v>305.0681</v>
      </c>
      <c r="H7" s="1" t="n">
        <v>256.5492</v>
      </c>
      <c r="I7" s="1" t="n">
        <v>411</v>
      </c>
      <c r="J7" s="2" t="n">
        <f aca="false">(G7-G$4)/SQRT(H7^2/I7+H$4^2/I$4)</f>
        <v>1.09379555170924</v>
      </c>
      <c r="L7" s="1" t="n">
        <v>20.0852</v>
      </c>
      <c r="M7" s="1" t="n">
        <v>63.9063</v>
      </c>
      <c r="N7" s="1" t="n">
        <v>411</v>
      </c>
      <c r="O7" s="2" t="n">
        <f aca="false">(L7-L$4)/SQRT(M7^2/N7+M$4^2/N$4)</f>
        <v>-1.63547685399691</v>
      </c>
      <c r="Q7" s="1" t="n">
        <v>110.8418</v>
      </c>
      <c r="R7" s="0" t="n">
        <v>169.9214</v>
      </c>
      <c r="S7" s="0" t="n">
        <v>411</v>
      </c>
      <c r="T7" s="2" t="n">
        <f aca="false">(Q7-Q$4)/SQRT(R7^2/S7+R$4^2/S$4)</f>
        <v>1.46756740571967</v>
      </c>
      <c r="V7" s="0" t="n">
        <v>68.1363</v>
      </c>
      <c r="W7" s="0" t="n">
        <v>74.4604</v>
      </c>
      <c r="X7" s="0" t="n">
        <v>411</v>
      </c>
      <c r="Y7" s="2" t="n">
        <f aca="false">(V7-V$4)/SQRT(W7^2/X7+W$4^2/X$4)</f>
        <v>1.52032852257075</v>
      </c>
      <c r="AA7" s="1" t="n">
        <f aca="false">V7+Q7+L7+G7+B7</f>
        <v>1440</v>
      </c>
    </row>
    <row r="8" customFormat="false" ht="14.65" hidden="false" customHeight="false" outlineLevel="0" collapsed="false">
      <c r="A8" s="1" t="s">
        <v>8</v>
      </c>
      <c r="B8" s="1" t="n">
        <v>946.4901</v>
      </c>
      <c r="C8" s="1" t="n">
        <v>239.804</v>
      </c>
      <c r="D8" s="1" t="n">
        <v>504</v>
      </c>
      <c r="E8" s="2" t="n">
        <f aca="false">(B8-B$4)/SQRT(C8^2/D8+C$4^2/D$4)</f>
        <v>-1.50215658670329</v>
      </c>
      <c r="G8" s="1" t="n">
        <v>304.4742</v>
      </c>
      <c r="H8" s="1" t="n">
        <v>257.039</v>
      </c>
      <c r="I8" s="1" t="n">
        <v>504</v>
      </c>
      <c r="J8" s="2" t="n">
        <f aca="false">(G8-G$4)/SQRT(H8^2/I8+H$4^2/I$4)</f>
        <v>1.14521745205784</v>
      </c>
      <c r="L8" s="1" t="n">
        <v>22.5615</v>
      </c>
      <c r="M8" s="1" t="n">
        <v>50.1975</v>
      </c>
      <c r="N8" s="1" t="n">
        <v>504</v>
      </c>
      <c r="O8" s="2" t="n">
        <f aca="false">(L8-L$4)/SQRT(M8^2/N8+M$4^2/N$4)</f>
        <v>-1.19781827820118</v>
      </c>
      <c r="Q8" s="1" t="n">
        <v>104.0992</v>
      </c>
      <c r="R8" s="0" t="n">
        <v>145.2251</v>
      </c>
      <c r="S8" s="0" t="n">
        <v>504</v>
      </c>
      <c r="T8" s="2" t="n">
        <f aca="false">(Q8-Q$4)/SQRT(R8^2/S8+R$4^2/S$4)</f>
        <v>0.881160696515373</v>
      </c>
      <c r="V8" s="0" t="n">
        <v>62.375</v>
      </c>
      <c r="W8" s="0" t="n">
        <v>54.1455</v>
      </c>
      <c r="X8" s="0" t="n">
        <v>504</v>
      </c>
      <c r="Y8" s="2" t="n">
        <f aca="false">(V8-V$4)/SQRT(W8^2/X8+W$4^2/X$4)</f>
        <v>0.0130214239032238</v>
      </c>
      <c r="AA8" s="1" t="n">
        <f aca="false">V8+Q8+L8+G8+B8</f>
        <v>1440</v>
      </c>
    </row>
    <row r="9" customFormat="false" ht="14.65" hidden="false" customHeight="false" outlineLevel="0" collapsed="false">
      <c r="A9" s="1" t="s">
        <v>9</v>
      </c>
      <c r="B9" s="1" t="n">
        <v>983.5149</v>
      </c>
      <c r="C9" s="1" t="n">
        <v>239.0648</v>
      </c>
      <c r="D9" s="1" t="n">
        <v>470</v>
      </c>
      <c r="E9" s="2" t="n">
        <f aca="false">(B9-B$4)/SQRT(C9^2/D9+C$4^2/D$4)</f>
        <v>1.66060703841141</v>
      </c>
      <c r="G9" s="1" t="n">
        <v>265.3021</v>
      </c>
      <c r="H9" s="1" t="n">
        <v>257.4834</v>
      </c>
      <c r="I9" s="1" t="n">
        <v>470</v>
      </c>
      <c r="J9" s="2" t="n">
        <f aca="false">(G9-G$4)/SQRT(H9^2/I9+H$4^2/I$4)</f>
        <v>-1.96102477585372</v>
      </c>
      <c r="L9" s="1" t="n">
        <v>29.2234</v>
      </c>
      <c r="M9" s="1" t="n">
        <v>70.1597</v>
      </c>
      <c r="N9" s="1" t="n">
        <v>470</v>
      </c>
      <c r="O9" s="2" t="n">
        <f aca="false">(L9-L$4)/SQRT(M9^2/N9+M$4^2/N$4)</f>
        <v>1.0578345704495</v>
      </c>
      <c r="Q9" s="1" t="n">
        <v>100.0277</v>
      </c>
      <c r="R9" s="0" t="n">
        <v>140.7653</v>
      </c>
      <c r="S9" s="0" t="n">
        <v>470</v>
      </c>
      <c r="T9" s="2" t="n">
        <f aca="false">(Q9-Q$4)/SQRT(R9^2/S9+R$4^2/S$4)</f>
        <v>0.298279146585532</v>
      </c>
      <c r="V9" s="0" t="n">
        <v>61.9319</v>
      </c>
      <c r="W9" s="0" t="n">
        <v>47.8834</v>
      </c>
      <c r="X9" s="0" t="n">
        <v>470</v>
      </c>
      <c r="Y9" s="2" t="n">
        <f aca="false">(V9-V$4)/SQRT(W9^2/X9+W$4^2/X$4)</f>
        <v>-0.168107677800786</v>
      </c>
      <c r="AA9" s="1" t="n">
        <f aca="false">V9+Q9+L9+G9+B9</f>
        <v>1440</v>
      </c>
    </row>
    <row r="10" customFormat="false" ht="14.65" hidden="false" customHeight="false" outlineLevel="0" collapsed="false">
      <c r="A10" s="1" t="s">
        <v>10</v>
      </c>
      <c r="B10" s="1" t="n">
        <v>975.2988</v>
      </c>
      <c r="C10" s="1" t="n">
        <v>238.6353</v>
      </c>
      <c r="D10" s="1" t="n">
        <v>405</v>
      </c>
      <c r="E10" s="2" t="n">
        <f aca="false">(B10-B$4)/SQRT(C10^2/D10+C$4^2/D$4)</f>
        <v>0.908330021639001</v>
      </c>
      <c r="G10" s="1" t="n">
        <v>286.5136</v>
      </c>
      <c r="H10" s="1" t="n">
        <v>253.3088</v>
      </c>
      <c r="I10" s="1" t="n">
        <v>405</v>
      </c>
      <c r="J10" s="2" t="n">
        <f aca="false">(G10-G$4)/SQRT(H10^2/I10+H$4^2/I$4)</f>
        <v>-0.283552484257933</v>
      </c>
      <c r="L10" s="1" t="n">
        <v>25.4099</v>
      </c>
      <c r="M10" s="1" t="n">
        <v>56.8116</v>
      </c>
      <c r="N10" s="1" t="n">
        <v>405</v>
      </c>
      <c r="O10" s="2" t="n">
        <f aca="false">(L10-L$4)/SQRT(M10^2/N10+M$4^2/N$4)</f>
        <v>-0.0568508486092213</v>
      </c>
      <c r="Q10" s="1" t="n">
        <v>92.1728</v>
      </c>
      <c r="R10" s="0" t="n">
        <v>131.6729</v>
      </c>
      <c r="S10" s="0" t="n">
        <v>405</v>
      </c>
      <c r="T10" s="2" t="n">
        <f aca="false">(Q10-Q$4)/SQRT(R10^2/S10+R$4^2/S$4)</f>
        <v>-0.815461639394837</v>
      </c>
      <c r="V10" s="0" t="n">
        <v>60.6049</v>
      </c>
      <c r="W10" s="0" t="n">
        <v>51.6364</v>
      </c>
      <c r="X10" s="0" t="n">
        <v>405</v>
      </c>
      <c r="Y10" s="2" t="n">
        <f aca="false">(V10-V$4)/SQRT(W10^2/X10+W$4^2/X$4)</f>
        <v>-0.62870181359828</v>
      </c>
      <c r="AA10" s="1" t="n">
        <f aca="false">V10+Q10+L10+G10+B10</f>
        <v>1440</v>
      </c>
    </row>
    <row r="11" customFormat="false" ht="14.65" hidden="false" customHeight="false" outlineLevel="0" collapsed="false">
      <c r="A11" s="1" t="s">
        <v>11</v>
      </c>
      <c r="B11" s="1" t="n">
        <v>961.5741</v>
      </c>
      <c r="C11" s="1" t="n">
        <v>240.4498</v>
      </c>
      <c r="D11" s="1" t="n">
        <v>371</v>
      </c>
      <c r="E11" s="2" t="n">
        <f aca="false">(B11-B$4)/SQRT(C11^2/D11+C$4^2/D$4)</f>
        <v>-0.170004407558766</v>
      </c>
      <c r="G11" s="1" t="n">
        <v>299.6038</v>
      </c>
      <c r="H11" s="1" t="n">
        <v>263.4365</v>
      </c>
      <c r="I11" s="1" t="n">
        <v>371</v>
      </c>
      <c r="J11" s="2" t="n">
        <f aca="false">(G11-G$4)/SQRT(H11^2/I11+H$4^2/I$4)</f>
        <v>0.642630537956544</v>
      </c>
      <c r="L11" s="1" t="n">
        <v>29.1509</v>
      </c>
      <c r="M11" s="1" t="n">
        <v>60.7815</v>
      </c>
      <c r="N11" s="1" t="n">
        <v>371</v>
      </c>
      <c r="O11" s="2" t="n">
        <f aca="false">(L11-L$4)/SQRT(M11^2/N11+M$4^2/N$4)</f>
        <v>1.06008759920968</v>
      </c>
      <c r="Q11" s="1" t="n">
        <v>87.5714</v>
      </c>
      <c r="R11" s="0" t="n">
        <v>141.2342</v>
      </c>
      <c r="S11" s="0" t="n">
        <v>371</v>
      </c>
      <c r="T11" s="2" t="n">
        <f aca="false">(Q11-Q$4)/SQRT(R11^2/S11+R$4^2/S$4)</f>
        <v>-1.32820392789904</v>
      </c>
      <c r="V11" s="0" t="n">
        <v>62.0997</v>
      </c>
      <c r="W11" s="0" t="n">
        <v>51.5382</v>
      </c>
      <c r="X11" s="0" t="n">
        <v>371</v>
      </c>
      <c r="Y11" s="2" t="n">
        <f aca="false">(V11-V$4)/SQRT(W11^2/X11+W$4^2/X$4)</f>
        <v>-0.0842280916572604</v>
      </c>
      <c r="AA11" s="1" t="n">
        <f aca="false">V11+Q11+L11+G11+B11</f>
        <v>1439.9999</v>
      </c>
    </row>
    <row r="12" customFormat="false" ht="14.65" hidden="false" customHeight="false" outlineLevel="0" collapsed="false">
      <c r="A12" s="1" t="s">
        <v>12</v>
      </c>
      <c r="B12" s="1" t="n">
        <v>942.4528</v>
      </c>
      <c r="C12" s="1" t="n">
        <v>227.6542</v>
      </c>
      <c r="D12" s="1" t="n">
        <v>265</v>
      </c>
      <c r="E12" s="2" t="n">
        <f aca="false">(B12-B$4)/SQRT(C12^2/D12+C$4^2/D$4)</f>
        <v>-1.45873480785422</v>
      </c>
      <c r="G12" s="1" t="n">
        <v>321.8113</v>
      </c>
      <c r="H12" s="1" t="n">
        <v>251.0383</v>
      </c>
      <c r="I12" s="1" t="n">
        <v>265</v>
      </c>
      <c r="J12" s="2" t="n">
        <f aca="false">(G12-G$4)/SQRT(H12^2/I12+H$4^2/I$4)</f>
        <v>1.95495535397201</v>
      </c>
      <c r="L12" s="1" t="n">
        <v>27.9925</v>
      </c>
      <c r="M12" s="1" t="n">
        <v>72.7328</v>
      </c>
      <c r="N12" s="1" t="n">
        <v>265</v>
      </c>
      <c r="O12" s="2" t="n">
        <f aca="false">(L12-L$4)/SQRT(M12^2/N12+M$4^2/N$4)</f>
        <v>0.521601755386655</v>
      </c>
      <c r="Q12" s="1" t="n">
        <v>84.7887</v>
      </c>
      <c r="R12" s="0" t="n">
        <v>140.4826</v>
      </c>
      <c r="S12" s="0" t="n">
        <v>265</v>
      </c>
      <c r="T12" s="2" t="n">
        <f aca="false">(Q12-Q$4)/SQRT(R12^2/S12+R$4^2/S$4)</f>
        <v>-1.45540645822578</v>
      </c>
      <c r="V12" s="0" t="n">
        <v>62.9547</v>
      </c>
      <c r="W12" s="0" t="n">
        <v>55.792</v>
      </c>
      <c r="X12" s="0" t="n">
        <v>265</v>
      </c>
      <c r="Y12" s="2" t="n">
        <f aca="false">(V12-V$4)/SQRT(W12^2/X12+W$4^2/X$4)</f>
        <v>0.171648217649278</v>
      </c>
      <c r="AA12" s="1" t="n">
        <f aca="false">V12+Q12+L12+G12+B12</f>
        <v>1440</v>
      </c>
    </row>
    <row r="13" customFormat="false" ht="14.65" hidden="false" customHeight="false" outlineLevel="0" collapsed="false">
      <c r="A13" s="1" t="s">
        <v>13</v>
      </c>
      <c r="B13" s="1" t="n">
        <v>989.1171</v>
      </c>
      <c r="C13" s="1" t="n">
        <v>241.1596</v>
      </c>
      <c r="D13" s="1" t="n">
        <v>205</v>
      </c>
      <c r="E13" s="2" t="n">
        <f aca="false">(B13-B$4)/SQRT(C13^2/D13+C$4^2/D$4)</f>
        <v>1.45380914547802</v>
      </c>
      <c r="G13" s="1" t="n">
        <v>274.039</v>
      </c>
      <c r="H13" s="1" t="n">
        <v>260.3518</v>
      </c>
      <c r="I13" s="1" t="n">
        <v>205</v>
      </c>
      <c r="J13" s="2" t="n">
        <f aca="false">(G13-G$4)/SQRT(H13^2/I13+H$4^2/I$4)</f>
        <v>-0.867321013039937</v>
      </c>
      <c r="L13" s="1" t="n">
        <v>29.6488</v>
      </c>
      <c r="M13" s="1" t="n">
        <v>78.8848</v>
      </c>
      <c r="N13" s="1" t="n">
        <v>205</v>
      </c>
      <c r="O13" s="2" t="n">
        <f aca="false">(L13-L$4)/SQRT(M13^2/N13+M$4^2/N$4)</f>
        <v>0.721784391937562</v>
      </c>
      <c r="Q13" s="1" t="n">
        <v>87.8829</v>
      </c>
      <c r="R13" s="0" t="n">
        <v>142.0415</v>
      </c>
      <c r="S13" s="0" t="n">
        <v>205</v>
      </c>
      <c r="T13" s="2" t="n">
        <f aca="false">(Q13-Q$4)/SQRT(R13^2/S13+R$4^2/S$4)</f>
        <v>-0.978455745557055</v>
      </c>
      <c r="V13" s="0" t="n">
        <v>59.3122</v>
      </c>
      <c r="W13" s="0" t="n">
        <v>48.9795</v>
      </c>
      <c r="X13" s="0" t="n">
        <v>205</v>
      </c>
      <c r="Y13" s="2" t="n">
        <f aca="false">(V13-V$4)/SQRT(W13^2/X13+W$4^2/X$4)</f>
        <v>-0.84842618909828</v>
      </c>
      <c r="AA13" s="1" t="n">
        <f aca="false">V13+Q13+L13+G13+B13</f>
        <v>1440</v>
      </c>
    </row>
    <row r="14" customFormat="false" ht="14.65" hidden="false" customHeight="false" outlineLevel="0" collapsed="false">
      <c r="A14" s="1" t="s">
        <v>14</v>
      </c>
      <c r="B14" s="1" t="n">
        <v>977.3796</v>
      </c>
      <c r="C14" s="1" t="n">
        <v>225.7395</v>
      </c>
      <c r="D14" s="1" t="n">
        <v>137</v>
      </c>
      <c r="E14" s="2" t="n">
        <f aca="false">(B14-B$4)/SQRT(C14^2/D14+C$4^2/D$4)</f>
        <v>0.685637523711797</v>
      </c>
      <c r="G14" s="1" t="n">
        <v>297.6131</v>
      </c>
      <c r="H14" s="1" t="n">
        <v>256.6645</v>
      </c>
      <c r="I14" s="1" t="n">
        <v>137</v>
      </c>
      <c r="J14" s="2" t="n">
        <f aca="false">(G14-G$4)/SQRT(H14^2/I14+H$4^2/I$4)</f>
        <v>0.325373371333905</v>
      </c>
      <c r="L14" s="1" t="n">
        <v>24.2044</v>
      </c>
      <c r="M14" s="1" t="n">
        <v>50.3101</v>
      </c>
      <c r="N14" s="1" t="n">
        <v>137</v>
      </c>
      <c r="O14" s="2" t="n">
        <f aca="false">(L14-L$4)/SQRT(M14^2/N14+M$4^2/N$4)</f>
        <v>-0.309630223927368</v>
      </c>
      <c r="Q14" s="1" t="n">
        <v>80.6861</v>
      </c>
      <c r="R14" s="0" t="n">
        <v>126.9231</v>
      </c>
      <c r="S14" s="0" t="n">
        <v>137</v>
      </c>
      <c r="T14" s="2" t="n">
        <f aca="false">(Q14-Q$4)/SQRT(R14^2/S14+R$4^2/S$4)</f>
        <v>-1.54460313444262</v>
      </c>
      <c r="V14" s="0" t="n">
        <v>60.1168</v>
      </c>
      <c r="W14" s="0" t="n">
        <v>50.3967</v>
      </c>
      <c r="X14" s="0" t="n">
        <v>137</v>
      </c>
      <c r="Y14" s="2" t="n">
        <f aca="false">(V14-V$4)/SQRT(W14^2/X14+W$4^2/X$4)</f>
        <v>-0.502631269685109</v>
      </c>
      <c r="AA14" s="1" t="n">
        <f aca="false">V14+Q14+L14+G14+B14</f>
        <v>1440</v>
      </c>
    </row>
    <row r="15" customFormat="false" ht="14.65" hidden="false" customHeight="false" outlineLevel="0" collapsed="false">
      <c r="A15" s="1" t="s">
        <v>15</v>
      </c>
      <c r="B15" s="1" t="n">
        <v>1029.8222</v>
      </c>
      <c r="C15" s="1" t="n">
        <v>246.2188</v>
      </c>
      <c r="D15" s="1" t="n">
        <v>90</v>
      </c>
      <c r="E15" s="2" t="n">
        <f aca="false">(B15-B$4)/SQRT(C15^2/D15+C$4^2/D$4)</f>
        <v>2.50780894633373</v>
      </c>
      <c r="G15" s="1" t="n">
        <v>271.0667</v>
      </c>
      <c r="H15" s="1" t="n">
        <v>254.6963</v>
      </c>
      <c r="I15" s="1" t="n">
        <v>90</v>
      </c>
      <c r="J15" s="2" t="n">
        <f aca="false">(G15-G$4)/SQRT(H15^2/I15+H$4^2/I$4)</f>
        <v>-0.706556545758081</v>
      </c>
      <c r="L15" s="1" t="n">
        <v>26.3222</v>
      </c>
      <c r="M15" s="1" t="n">
        <v>63.9253</v>
      </c>
      <c r="N15" s="1" t="n">
        <v>90</v>
      </c>
      <c r="O15" s="2" t="n">
        <f aca="false">(L15-L$4)/SQRT(M15^2/N15+M$4^2/N$4)</f>
        <v>0.107999424556893</v>
      </c>
      <c r="Q15" s="1" t="n">
        <v>61.4444</v>
      </c>
      <c r="R15" s="0" t="n">
        <v>120.7528</v>
      </c>
      <c r="S15" s="0" t="n">
        <v>90</v>
      </c>
      <c r="T15" s="2" t="n">
        <f aca="false">(Q15-Q$4)/SQRT(R15^2/S15+R$4^2/S$4)</f>
        <v>-2.8059054630868</v>
      </c>
      <c r="V15" s="0" t="n">
        <v>51.3444</v>
      </c>
      <c r="W15" s="0" t="n">
        <v>43.6418</v>
      </c>
      <c r="X15" s="0" t="n">
        <v>90</v>
      </c>
      <c r="Y15" s="2" t="n">
        <f aca="false">(V15-V$4)/SQRT(W15^2/X15+W$4^2/X$4)</f>
        <v>-2.33370516092223</v>
      </c>
      <c r="AA15" s="1" t="n">
        <f aca="false">V15+Q15+L15+G15+B15</f>
        <v>1439.9999</v>
      </c>
    </row>
  </sheetData>
  <printOptions headings="false" gridLines="tru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