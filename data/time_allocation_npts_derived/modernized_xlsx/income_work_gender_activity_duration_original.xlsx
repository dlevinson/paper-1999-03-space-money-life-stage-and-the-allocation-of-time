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by Activity" sheetId="2" state="visible" r:id="rId4"/>
    <sheet name="F-NWork$" sheetId="3" state="visible" r:id="rId5"/>
    <sheet name="F-Work$" sheetId="4" state="visible" r:id="rId6"/>
    <sheet name="M-NWork$" sheetId="5" state="visible" r:id="rId7"/>
    <sheet name="M-Work$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<sst xmlns="http://schemas.openxmlformats.org/spreadsheetml/2006/main" count="288" uniqueCount="47">
  <si>
    <t xml:space="preserve">TIME at HOME</t>
  </si>
  <si>
    <t xml:space="preserve">TIME at WORK</t>
  </si>
  <si>
    <t xml:space="preserve">TIME at SHOP</t>
  </si>
  <si>
    <t xml:space="preserve">TIME at OTHER</t>
  </si>
  <si>
    <t xml:space="preserve">Time at Travel</t>
  </si>
  <si>
    <t xml:space="preserve">Mean</t>
  </si>
  <si>
    <t xml:space="preserve">Std Dev</t>
  </si>
  <si>
    <t xml:space="preserve">Cases</t>
  </si>
  <si>
    <t xml:space="preserve">Female</t>
  </si>
  <si>
    <t xml:space="preserve">Non-Worker</t>
  </si>
  <si>
    <t xml:space="preserve">-</t>
  </si>
  <si>
    <t xml:space="preserve">Worker</t>
  </si>
  <si>
    <t xml:space="preserve">Male</t>
  </si>
  <si>
    <t xml:space="preserve">note: all times in minutes per day</t>
  </si>
  <si>
    <t xml:space="preserve">TIMEHOME</t>
  </si>
  <si>
    <t xml:space="preserve">Total</t>
  </si>
  <si>
    <t xml:space="preserve">Income Level</t>
  </si>
  <si>
    <t xml:space="preserve">Female, Non-Worker</t>
  </si>
  <si>
    <t xml:space="preserve">Female, Worker</t>
  </si>
  <si>
    <t xml:space="preserve">Male, Non-Worker</t>
  </si>
  <si>
    <t xml:space="preserve">Male, Worker</t>
  </si>
  <si>
    <t xml:space="preserve">Less Than $5,000</t>
  </si>
  <si>
    <t xml:space="preserve">$5,000- $9,999</t>
  </si>
  <si>
    <t xml:space="preserve">$10,000-$14,999</t>
  </si>
  <si>
    <t xml:space="preserve">$15,000-$19,999</t>
  </si>
  <si>
    <t xml:space="preserve">$20,000-$24,999</t>
  </si>
  <si>
    <t xml:space="preserve">$25,000-$29,999</t>
  </si>
  <si>
    <t xml:space="preserve">$30,000-$34,999</t>
  </si>
  <si>
    <t xml:space="preserve">$35,000-$39,999</t>
  </si>
  <si>
    <t xml:space="preserve">$40,000-$44,999</t>
  </si>
  <si>
    <t xml:space="preserve">$45,000-$49,999</t>
  </si>
  <si>
    <t xml:space="preserve">$50,000-$54,999</t>
  </si>
  <si>
    <t xml:space="preserve">$55,000-$59,999</t>
  </si>
  <si>
    <t xml:space="preserve">$60,000-$64,999</t>
  </si>
  <si>
    <t xml:space="preserve">$65,000-$69,999</t>
  </si>
  <si>
    <t xml:space="preserve">$70,000-$79,999</t>
  </si>
  <si>
    <t xml:space="preserve">$75,000-$79,999</t>
  </si>
  <si>
    <t xml:space="preserve">$80,000+</t>
  </si>
  <si>
    <t xml:space="preserve">TIMESHOP</t>
  </si>
  <si>
    <t xml:space="preserve">TIMEOTHER</t>
  </si>
  <si>
    <t xml:space="preserve">TIMETRAVEL</t>
  </si>
  <si>
    <t xml:space="preserve">TIMEWORK</t>
  </si>
  <si>
    <t xml:space="preserve">TIMEOTHE</t>
  </si>
  <si>
    <t xml:space="preserve">TIMETRAV</t>
  </si>
  <si>
    <t xml:space="preserve">SUMMARY</t>
  </si>
  <si>
    <t xml:space="preserve">Diff Means</t>
  </si>
  <si>
    <t xml:space="preserve">Std.Dev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</si>
</sst>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7">
    <font>
      <sz val="10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Time at Home by Income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68842384985883"/>
          <c:y val="0.175632421270005"/>
          <c:w val="0.894369706028899"/>
          <c:h val="0.68704181724316"/>
        </c:manualLayout>
      </c:layout>
      <c:lineChart>
        <c:grouping val="standard"/>
        <c:varyColors val="0"/>
        <c:ser>
          <c:idx val="0"/>
          <c:order val="0"/>
          <c:tx>
            <c:strRef>
              <c:f>'by Activity'!$B$5</c:f>
              <c:strCache>
                <c:ptCount val="1"/>
                <c:pt idx="0">
                  <c:v>Female, Non-Worker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Activity'!$A$6:$A$22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Activity'!$B$6:$B$22</c:f>
              <c:numCache>
                <c:formatCode>0</c:formatCode>
                <c:ptCount val="17"/>
                <c:pt idx="0">
                  <c:v>1121.7255</c:v>
                </c:pt>
                <c:pt idx="1">
                  <c:v>1160.5733</c:v>
                </c:pt>
                <c:pt idx="2">
                  <c:v>1199.5156</c:v>
                </c:pt>
                <c:pt idx="3">
                  <c:v>1226.4125</c:v>
                </c:pt>
                <c:pt idx="4">
                  <c:v>1164.4247</c:v>
                </c:pt>
                <c:pt idx="5">
                  <c:v>1174.5814</c:v>
                </c:pt>
                <c:pt idx="6">
                  <c:v>1192.3721</c:v>
                </c:pt>
                <c:pt idx="7">
                  <c:v>1202.8592</c:v>
                </c:pt>
                <c:pt idx="8">
                  <c:v>1173.1471</c:v>
                </c:pt>
                <c:pt idx="9">
                  <c:v>1183.5484</c:v>
                </c:pt>
                <c:pt idx="10">
                  <c:v>1186.8478</c:v>
                </c:pt>
                <c:pt idx="11">
                  <c:v>1146.875</c:v>
                </c:pt>
                <c:pt idx="12">
                  <c:v>1165.087</c:v>
                </c:pt>
                <c:pt idx="13">
                  <c:v>1169.2813</c:v>
                </c:pt>
                <c:pt idx="14">
                  <c:v>1239.5238</c:v>
                </c:pt>
                <c:pt idx="15">
                  <c:v>1183.7826</c:v>
                </c:pt>
                <c:pt idx="16">
                  <c:v>1171.4355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'by Activity'!$C$5</c:f>
              <c:strCache>
                <c:ptCount val="1"/>
                <c:pt idx="0">
                  <c:v>Female, Worker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Activity'!$A$6:$A$22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Activity'!$C$6:$C$22</c:f>
              <c:numCache>
                <c:formatCode>0</c:formatCode>
                <c:ptCount val="17"/>
                <c:pt idx="0">
                  <c:v>959.3478</c:v>
                </c:pt>
                <c:pt idx="1">
                  <c:v>1021.7802</c:v>
                </c:pt>
                <c:pt idx="2">
                  <c:v>948.0769</c:v>
                </c:pt>
                <c:pt idx="3">
                  <c:v>964.9821</c:v>
                </c:pt>
                <c:pt idx="4">
                  <c:v>955.9946</c:v>
                </c:pt>
                <c:pt idx="5">
                  <c:v>1005.5668</c:v>
                </c:pt>
                <c:pt idx="6">
                  <c:v>952.2901</c:v>
                </c:pt>
                <c:pt idx="7">
                  <c:v>955.1065</c:v>
                </c:pt>
                <c:pt idx="8">
                  <c:v>952.3141</c:v>
                </c:pt>
                <c:pt idx="9">
                  <c:v>942.3167</c:v>
                </c:pt>
                <c:pt idx="10">
                  <c:v>974.4683</c:v>
                </c:pt>
                <c:pt idx="11">
                  <c:v>946.4257</c:v>
                </c:pt>
                <c:pt idx="12">
                  <c:v>967.0374</c:v>
                </c:pt>
                <c:pt idx="13">
                  <c:v>998.9008</c:v>
                </c:pt>
                <c:pt idx="14">
                  <c:v>927.0102</c:v>
                </c:pt>
                <c:pt idx="15">
                  <c:v>937.7206</c:v>
                </c:pt>
                <c:pt idx="16">
                  <c:v>965.4691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'by Activity'!$D$5</c:f>
              <c:strCache>
                <c:ptCount val="1"/>
                <c:pt idx="0">
                  <c:v>Male, Non-Worker</c:v>
                </c:pt>
              </c:strCache>
            </c:strRef>
          </c:tx>
          <c:spPr>
            <a:solidFill>
              <a:srgbClr val="FFFF00"/>
            </a:solidFill>
            <a:ln w="37800">
              <a:solidFill>
                <a:srgbClr val="FFFF00"/>
              </a:solidFill>
              <a:round/>
            </a:ln>
          </c:spPr>
          <c:marker>
            <c:symbol val="triangle"/>
            <c:size val="9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Activity'!$A$6:$A$22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Activity'!$D$6:$D$22</c:f>
              <c:numCache>
                <c:formatCode>0</c:formatCode>
                <c:ptCount val="17"/>
                <c:pt idx="0">
                  <c:v>1071.95</c:v>
                </c:pt>
                <c:pt idx="1">
                  <c:v>1146.3</c:v>
                </c:pt>
                <c:pt idx="2">
                  <c:v>1190.9655</c:v>
                </c:pt>
                <c:pt idx="3">
                  <c:v>1200.6667</c:v>
                </c:pt>
                <c:pt idx="4">
                  <c:v>1210.8667</c:v>
                </c:pt>
                <c:pt idx="5">
                  <c:v>1178.9375</c:v>
                </c:pt>
                <c:pt idx="6">
                  <c:v>1233.5135</c:v>
                </c:pt>
                <c:pt idx="7">
                  <c:v>1217.9</c:v>
                </c:pt>
                <c:pt idx="8">
                  <c:v>1220.6667</c:v>
                </c:pt>
                <c:pt idx="9">
                  <c:v>1119.1053</c:v>
                </c:pt>
                <c:pt idx="10">
                  <c:v>1100.4815</c:v>
                </c:pt>
                <c:pt idx="11">
                  <c:v>1178.9524</c:v>
                </c:pt>
                <c:pt idx="12">
                  <c:v>1195.6667</c:v>
                </c:pt>
                <c:pt idx="13">
                  <c:v>996.7</c:v>
                </c:pt>
                <c:pt idx="14">
                  <c:v>1135.4</c:v>
                </c:pt>
                <c:pt idx="15">
                  <c:v>1120</c:v>
                </c:pt>
                <c:pt idx="16">
                  <c:v>1091.3043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'by Activity'!$E$5</c:f>
              <c:strCache>
                <c:ptCount val="1"/>
                <c:pt idx="0">
                  <c:v>Male, Worker</c:v>
                </c:pt>
              </c:strCache>
            </c:strRef>
          </c:tx>
          <c:spPr>
            <a:solidFill>
              <a:srgbClr val="00FFFF"/>
            </a:solidFill>
            <a:ln w="37800">
              <a:solidFill>
                <a:srgbClr val="00FFFF"/>
              </a:solidFill>
              <a:round/>
            </a:ln>
          </c:spPr>
          <c:marker>
            <c:symbol val="x"/>
            <c:size val="9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Activity'!$A$6:$A$22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Activity'!$E$6:$E$22</c:f>
              <c:numCache>
                <c:formatCode>0</c:formatCode>
                <c:ptCount val="17"/>
                <c:pt idx="0">
                  <c:v>988.5385</c:v>
                </c:pt>
                <c:pt idx="1">
                  <c:v>967.5147</c:v>
                </c:pt>
                <c:pt idx="2">
                  <c:v>991.0413</c:v>
                </c:pt>
                <c:pt idx="3">
                  <c:v>949.5491</c:v>
                </c:pt>
                <c:pt idx="4">
                  <c:v>948.6635</c:v>
                </c:pt>
                <c:pt idx="5">
                  <c:v>940.5461</c:v>
                </c:pt>
                <c:pt idx="6">
                  <c:v>931.7903</c:v>
                </c:pt>
                <c:pt idx="7">
                  <c:v>930.1844</c:v>
                </c:pt>
                <c:pt idx="8">
                  <c:v>911.7444</c:v>
                </c:pt>
                <c:pt idx="9">
                  <c:v>893.7153</c:v>
                </c:pt>
                <c:pt idx="10">
                  <c:v>920.9715</c:v>
                </c:pt>
                <c:pt idx="11">
                  <c:v>937.2907</c:v>
                </c:pt>
                <c:pt idx="12">
                  <c:v>904.2071</c:v>
                </c:pt>
                <c:pt idx="13">
                  <c:v>897.6404</c:v>
                </c:pt>
                <c:pt idx="14">
                  <c:v>928.416</c:v>
                </c:pt>
                <c:pt idx="15">
                  <c:v>893.1714</c:v>
                </c:pt>
                <c:pt idx="16">
                  <c:v>891.2204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7917669"/>
        <c:axId val="79521883"/>
      </c:lineChart>
      <c:catAx>
        <c:axId val="679176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Income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9521883"/>
        <c:crossesAt val="0"/>
        <c:auto val="1"/>
        <c:lblAlgn val="ctr"/>
        <c:lblOffset val="100"/>
        <c:noMultiLvlLbl val="0"/>
      </c:catAx>
      <c:valAx>
        <c:axId val="7952188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7917669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13685434313237"/>
          <c:y val="0.90283944243675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Time at Shop by Income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68842384985883"/>
          <c:y val="0.175614288664051"/>
          <c:w val="0.894369706028899"/>
          <c:h val="0.687074127606855"/>
        </c:manualLayout>
      </c:layout>
      <c:lineChart>
        <c:grouping val="standard"/>
        <c:varyColors val="0"/>
        <c:ser>
          <c:idx val="0"/>
          <c:order val="0"/>
          <c:tx>
            <c:strRef>
              <c:f>'by Activity'!$B$34</c:f>
              <c:strCache>
                <c:ptCount val="1"/>
                <c:pt idx="0">
                  <c:v>Female, Non-Worker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Activity'!$A$35:$A$51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Activity'!$B$35:$B$51</c:f>
              <c:numCache>
                <c:formatCode>0</c:formatCode>
                <c:ptCount val="17"/>
                <c:pt idx="0">
                  <c:v>31.1569</c:v>
                </c:pt>
                <c:pt idx="1">
                  <c:v>21.92</c:v>
                </c:pt>
                <c:pt idx="2">
                  <c:v>32.4063</c:v>
                </c:pt>
                <c:pt idx="3">
                  <c:v>32.425</c:v>
                </c:pt>
                <c:pt idx="4">
                  <c:v>31.3836</c:v>
                </c:pt>
                <c:pt idx="5">
                  <c:v>26.4302</c:v>
                </c:pt>
                <c:pt idx="6">
                  <c:v>38.8256</c:v>
                </c:pt>
                <c:pt idx="7">
                  <c:v>43.1408</c:v>
                </c:pt>
                <c:pt idx="8">
                  <c:v>37.5588</c:v>
                </c:pt>
                <c:pt idx="9">
                  <c:v>41.9677</c:v>
                </c:pt>
                <c:pt idx="10">
                  <c:v>53.2609</c:v>
                </c:pt>
                <c:pt idx="11">
                  <c:v>35.6875</c:v>
                </c:pt>
                <c:pt idx="12">
                  <c:v>22.1304</c:v>
                </c:pt>
                <c:pt idx="13">
                  <c:v>41.5625</c:v>
                </c:pt>
                <c:pt idx="14">
                  <c:v>35.2381</c:v>
                </c:pt>
                <c:pt idx="15">
                  <c:v>36.1304</c:v>
                </c:pt>
                <c:pt idx="16">
                  <c:v>40.7419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'by Activity'!$C$34</c:f>
              <c:strCache>
                <c:ptCount val="1"/>
                <c:pt idx="0">
                  <c:v>Female, Worker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Activity'!$A$35:$A$51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Activity'!$C$35:$C$51</c:f>
              <c:numCache>
                <c:formatCode>0</c:formatCode>
                <c:ptCount val="17"/>
                <c:pt idx="0">
                  <c:v>16.6522</c:v>
                </c:pt>
                <c:pt idx="1">
                  <c:v>24.0549</c:v>
                </c:pt>
                <c:pt idx="2">
                  <c:v>16.25</c:v>
                </c:pt>
                <c:pt idx="3">
                  <c:v>24.1031</c:v>
                </c:pt>
                <c:pt idx="4">
                  <c:v>22.3804</c:v>
                </c:pt>
                <c:pt idx="5">
                  <c:v>24.639</c:v>
                </c:pt>
                <c:pt idx="6">
                  <c:v>25.4847</c:v>
                </c:pt>
                <c:pt idx="7">
                  <c:v>22.5484</c:v>
                </c:pt>
                <c:pt idx="8">
                  <c:v>31.801</c:v>
                </c:pt>
                <c:pt idx="9">
                  <c:v>32.2579</c:v>
                </c:pt>
                <c:pt idx="10">
                  <c:v>36.9756</c:v>
                </c:pt>
                <c:pt idx="11">
                  <c:v>21.1931</c:v>
                </c:pt>
                <c:pt idx="12">
                  <c:v>19.9346</c:v>
                </c:pt>
                <c:pt idx="13">
                  <c:v>28.0229</c:v>
                </c:pt>
                <c:pt idx="14">
                  <c:v>22.2041</c:v>
                </c:pt>
                <c:pt idx="15">
                  <c:v>27.5</c:v>
                </c:pt>
                <c:pt idx="16">
                  <c:v>25.0833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'by Activity'!$D$34</c:f>
              <c:strCache>
                <c:ptCount val="1"/>
                <c:pt idx="0">
                  <c:v>Male, Non-Worker</c:v>
                </c:pt>
              </c:strCache>
            </c:strRef>
          </c:tx>
          <c:spPr>
            <a:solidFill>
              <a:srgbClr val="FFFF00"/>
            </a:solidFill>
            <a:ln w="37800">
              <a:solidFill>
                <a:srgbClr val="FFFF00"/>
              </a:solidFill>
              <a:round/>
            </a:ln>
          </c:spPr>
          <c:marker>
            <c:symbol val="triangle"/>
            <c:size val="9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Activity'!$A$35:$A$51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Activity'!$D$35:$D$51</c:f>
              <c:numCache>
                <c:formatCode>0</c:formatCode>
                <c:ptCount val="17"/>
                <c:pt idx="0">
                  <c:v>10.9</c:v>
                </c:pt>
                <c:pt idx="1">
                  <c:v>11.46</c:v>
                </c:pt>
                <c:pt idx="2">
                  <c:v>26.6897</c:v>
                </c:pt>
                <c:pt idx="3">
                  <c:v>13.1389</c:v>
                </c:pt>
                <c:pt idx="4">
                  <c:v>18.3</c:v>
                </c:pt>
                <c:pt idx="5">
                  <c:v>21.9792</c:v>
                </c:pt>
                <c:pt idx="6">
                  <c:v>37.1622</c:v>
                </c:pt>
                <c:pt idx="7">
                  <c:v>19.4</c:v>
                </c:pt>
                <c:pt idx="8">
                  <c:v>21</c:v>
                </c:pt>
                <c:pt idx="9">
                  <c:v>20.2632</c:v>
                </c:pt>
                <c:pt idx="10">
                  <c:v>22.4074</c:v>
                </c:pt>
                <c:pt idx="11">
                  <c:v>21.6667</c:v>
                </c:pt>
                <c:pt idx="12">
                  <c:v>20</c:v>
                </c:pt>
                <c:pt idx="13">
                  <c:v>1.5</c:v>
                </c:pt>
                <c:pt idx="14">
                  <c:v>0</c:v>
                </c:pt>
                <c:pt idx="15">
                  <c:v>17</c:v>
                </c:pt>
                <c:pt idx="16">
                  <c:v>11.7391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'by Activity'!$E$34</c:f>
              <c:strCache>
                <c:ptCount val="1"/>
                <c:pt idx="0">
                  <c:v>Male, Worker</c:v>
                </c:pt>
              </c:strCache>
            </c:strRef>
          </c:tx>
          <c:spPr>
            <a:solidFill>
              <a:srgbClr val="00FFFF"/>
            </a:solidFill>
            <a:ln w="37800">
              <a:solidFill>
                <a:srgbClr val="00FFFF"/>
              </a:solidFill>
              <a:round/>
            </a:ln>
          </c:spPr>
          <c:marker>
            <c:symbol val="x"/>
            <c:size val="9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Activity'!$A$35:$A$51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Activity'!$E$35:$E$51</c:f>
              <c:numCache>
                <c:formatCode>0</c:formatCode>
                <c:ptCount val="17"/>
                <c:pt idx="0">
                  <c:v>4.6154</c:v>
                </c:pt>
                <c:pt idx="1">
                  <c:v>13.1912</c:v>
                </c:pt>
                <c:pt idx="2">
                  <c:v>8.6364</c:v>
                </c:pt>
                <c:pt idx="3">
                  <c:v>12.3064</c:v>
                </c:pt>
                <c:pt idx="4">
                  <c:v>16.1943</c:v>
                </c:pt>
                <c:pt idx="5">
                  <c:v>10.6519</c:v>
                </c:pt>
                <c:pt idx="6">
                  <c:v>20.0608</c:v>
                </c:pt>
                <c:pt idx="7">
                  <c:v>10.5615</c:v>
                </c:pt>
                <c:pt idx="8">
                  <c:v>14.7889</c:v>
                </c:pt>
                <c:pt idx="9">
                  <c:v>14.4088</c:v>
                </c:pt>
                <c:pt idx="10">
                  <c:v>14.4431</c:v>
                </c:pt>
                <c:pt idx="11">
                  <c:v>16.2752</c:v>
                </c:pt>
                <c:pt idx="12">
                  <c:v>10.6071</c:v>
                </c:pt>
                <c:pt idx="13">
                  <c:v>18.0562</c:v>
                </c:pt>
                <c:pt idx="14">
                  <c:v>20.88</c:v>
                </c:pt>
                <c:pt idx="15">
                  <c:v>14.7048</c:v>
                </c:pt>
                <c:pt idx="16">
                  <c:v>10.9002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0641089"/>
        <c:axId val="24842344"/>
      </c:lineChart>
      <c:catAx>
        <c:axId val="906410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Income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4842344"/>
        <c:crossesAt val="0"/>
        <c:auto val="1"/>
        <c:lblAlgn val="ctr"/>
        <c:lblOffset val="100"/>
        <c:noMultiLvlLbl val="0"/>
      </c:catAx>
      <c:valAx>
        <c:axId val="2484234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0641089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13685434313237"/>
          <c:y val="0.90284947346685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Time at Other by Income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68842384985883"/>
          <c:y val="0.175614288664051"/>
          <c:w val="0.894369706028899"/>
          <c:h val="0.687074127606855"/>
        </c:manualLayout>
      </c:layout>
      <c:lineChart>
        <c:grouping val="standard"/>
        <c:varyColors val="0"/>
        <c:ser>
          <c:idx val="0"/>
          <c:order val="0"/>
          <c:tx>
            <c:strRef>
              <c:f>'by Activity'!$B$65</c:f>
              <c:strCache>
                <c:ptCount val="1"/>
                <c:pt idx="0">
                  <c:v>Female, Non-Worker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Activity'!$A$66:$A$82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Activity'!$B$66:$B$82</c:f>
              <c:numCache>
                <c:formatCode>0</c:formatCode>
                <c:ptCount val="17"/>
                <c:pt idx="0">
                  <c:v>203.1961</c:v>
                </c:pt>
                <c:pt idx="1">
                  <c:v>197.2133</c:v>
                </c:pt>
                <c:pt idx="2">
                  <c:v>149.9531</c:v>
                </c:pt>
                <c:pt idx="3">
                  <c:v>128.7</c:v>
                </c:pt>
                <c:pt idx="4">
                  <c:v>162.3836</c:v>
                </c:pt>
                <c:pt idx="5">
                  <c:v>181.7674</c:v>
                </c:pt>
                <c:pt idx="6">
                  <c:v>154.4302</c:v>
                </c:pt>
                <c:pt idx="7">
                  <c:v>135.6901</c:v>
                </c:pt>
                <c:pt idx="8">
                  <c:v>159.5588</c:v>
                </c:pt>
                <c:pt idx="9">
                  <c:v>141.129</c:v>
                </c:pt>
                <c:pt idx="10">
                  <c:v>98.9783</c:v>
                </c:pt>
                <c:pt idx="11">
                  <c:v>162.7344</c:v>
                </c:pt>
                <c:pt idx="12">
                  <c:v>202.087</c:v>
                </c:pt>
                <c:pt idx="13">
                  <c:v>159</c:v>
                </c:pt>
                <c:pt idx="14">
                  <c:v>106.7143</c:v>
                </c:pt>
                <c:pt idx="15">
                  <c:v>153.5652</c:v>
                </c:pt>
                <c:pt idx="16">
                  <c:v>160.0726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'by Activity'!$C$65</c:f>
              <c:strCache>
                <c:ptCount val="1"/>
                <c:pt idx="0">
                  <c:v>Female, Worker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Activity'!$A$66:$A$82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Activity'!$C$66:$C$82</c:f>
              <c:numCache>
                <c:formatCode>0</c:formatCode>
                <c:ptCount val="17"/>
                <c:pt idx="0">
                  <c:v>106.3043</c:v>
                </c:pt>
                <c:pt idx="1">
                  <c:v>61.956</c:v>
                </c:pt>
                <c:pt idx="2">
                  <c:v>116.4135</c:v>
                </c:pt>
                <c:pt idx="3">
                  <c:v>87.7534</c:v>
                </c:pt>
                <c:pt idx="4">
                  <c:v>84.1957</c:v>
                </c:pt>
                <c:pt idx="5">
                  <c:v>92.639</c:v>
                </c:pt>
                <c:pt idx="6">
                  <c:v>130.458</c:v>
                </c:pt>
                <c:pt idx="7">
                  <c:v>103.1806</c:v>
                </c:pt>
                <c:pt idx="8">
                  <c:v>90.7382</c:v>
                </c:pt>
                <c:pt idx="9">
                  <c:v>102.1086</c:v>
                </c:pt>
                <c:pt idx="10">
                  <c:v>81.1561</c:v>
                </c:pt>
                <c:pt idx="11">
                  <c:v>108.7822</c:v>
                </c:pt>
                <c:pt idx="12">
                  <c:v>108.3364</c:v>
                </c:pt>
                <c:pt idx="13">
                  <c:v>95.0153</c:v>
                </c:pt>
                <c:pt idx="14">
                  <c:v>108.051</c:v>
                </c:pt>
                <c:pt idx="15">
                  <c:v>96.7353</c:v>
                </c:pt>
                <c:pt idx="16">
                  <c:v>89.713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'by Activity'!$D$65</c:f>
              <c:strCache>
                <c:ptCount val="1"/>
                <c:pt idx="0">
                  <c:v>Male, Non-Worker</c:v>
                </c:pt>
              </c:strCache>
            </c:strRef>
          </c:tx>
          <c:spPr>
            <a:solidFill>
              <a:srgbClr val="FFFF00"/>
            </a:solidFill>
            <a:ln w="37800">
              <a:solidFill>
                <a:srgbClr val="FFFF00"/>
              </a:solidFill>
              <a:round/>
            </a:ln>
          </c:spPr>
          <c:marker>
            <c:symbol val="triangle"/>
            <c:size val="9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Activity'!$A$66:$A$82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Activity'!$D$66:$D$82</c:f>
              <c:numCache>
                <c:formatCode>0</c:formatCode>
                <c:ptCount val="17"/>
                <c:pt idx="0">
                  <c:v>280.6</c:v>
                </c:pt>
                <c:pt idx="1">
                  <c:v>204.5</c:v>
                </c:pt>
                <c:pt idx="2">
                  <c:v>156.8276</c:v>
                </c:pt>
                <c:pt idx="3">
                  <c:v>140.6667</c:v>
                </c:pt>
                <c:pt idx="4">
                  <c:v>170.7333</c:v>
                </c:pt>
                <c:pt idx="5">
                  <c:v>171.7083</c:v>
                </c:pt>
                <c:pt idx="6">
                  <c:v>102</c:v>
                </c:pt>
                <c:pt idx="7">
                  <c:v>138.5667</c:v>
                </c:pt>
                <c:pt idx="8">
                  <c:v>148.8519</c:v>
                </c:pt>
                <c:pt idx="9">
                  <c:v>229.0526</c:v>
                </c:pt>
                <c:pt idx="10">
                  <c:v>258.6667</c:v>
                </c:pt>
                <c:pt idx="11">
                  <c:v>165.5714</c:v>
                </c:pt>
                <c:pt idx="12">
                  <c:v>146.4444</c:v>
                </c:pt>
                <c:pt idx="13">
                  <c:v>312.1</c:v>
                </c:pt>
                <c:pt idx="14">
                  <c:v>264.4</c:v>
                </c:pt>
                <c:pt idx="15">
                  <c:v>64.3333</c:v>
                </c:pt>
                <c:pt idx="16">
                  <c:v>278.7391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'by Activity'!$E$65</c:f>
              <c:strCache>
                <c:ptCount val="1"/>
                <c:pt idx="0">
                  <c:v>Male, Worker</c:v>
                </c:pt>
              </c:strCache>
            </c:strRef>
          </c:tx>
          <c:spPr>
            <a:solidFill>
              <a:srgbClr val="00FFFF"/>
            </a:solidFill>
            <a:ln w="37800">
              <a:solidFill>
                <a:srgbClr val="00FFFF"/>
              </a:solidFill>
              <a:round/>
            </a:ln>
          </c:spPr>
          <c:marker>
            <c:symbol val="x"/>
            <c:size val="9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Activity'!$A$66:$A$82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Activity'!$E$66:$E$82</c:f>
              <c:numCache>
                <c:formatCode>0</c:formatCode>
                <c:ptCount val="17"/>
                <c:pt idx="0">
                  <c:v>76.2308</c:v>
                </c:pt>
                <c:pt idx="1">
                  <c:v>90.1765</c:v>
                </c:pt>
                <c:pt idx="2">
                  <c:v>98.2727</c:v>
                </c:pt>
                <c:pt idx="3">
                  <c:v>96.2601</c:v>
                </c:pt>
                <c:pt idx="4">
                  <c:v>97.3365</c:v>
                </c:pt>
                <c:pt idx="5">
                  <c:v>98.0307</c:v>
                </c:pt>
                <c:pt idx="6">
                  <c:v>96.1672</c:v>
                </c:pt>
                <c:pt idx="7">
                  <c:v>92.1704</c:v>
                </c:pt>
                <c:pt idx="8">
                  <c:v>106.7407</c:v>
                </c:pt>
                <c:pt idx="9">
                  <c:v>106.4745</c:v>
                </c:pt>
                <c:pt idx="10">
                  <c:v>73.2114</c:v>
                </c:pt>
                <c:pt idx="11">
                  <c:v>91.4186</c:v>
                </c:pt>
                <c:pt idx="12">
                  <c:v>112.0214</c:v>
                </c:pt>
                <c:pt idx="13">
                  <c:v>101.6011</c:v>
                </c:pt>
                <c:pt idx="14">
                  <c:v>82.152</c:v>
                </c:pt>
                <c:pt idx="15">
                  <c:v>95.8571</c:v>
                </c:pt>
                <c:pt idx="16">
                  <c:v>108.0582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647720"/>
        <c:axId val="28282172"/>
      </c:lineChart>
      <c:catAx>
        <c:axId val="366477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Income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8282172"/>
        <c:crossesAt val="0"/>
        <c:auto val="1"/>
        <c:lblAlgn val="ctr"/>
        <c:lblOffset val="100"/>
        <c:noMultiLvlLbl val="0"/>
      </c:catAx>
      <c:valAx>
        <c:axId val="2828217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6647720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65836239827271"/>
          <c:y val="0.89975221969853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Time in Travel by Income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68842384985883"/>
          <c:y val="0.175614288664051"/>
          <c:w val="0.894369706028899"/>
          <c:h val="0.687074127606855"/>
        </c:manualLayout>
      </c:layout>
      <c:lineChart>
        <c:grouping val="standard"/>
        <c:varyColors val="0"/>
        <c:ser>
          <c:idx val="0"/>
          <c:order val="0"/>
          <c:tx>
            <c:strRef>
              <c:f>'by Activity'!$B$95</c:f>
              <c:strCache>
                <c:ptCount val="1"/>
                <c:pt idx="0">
                  <c:v>Female, Non-Worker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Activity'!$A$96:$A$112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Activity'!$B$96:$B$112</c:f>
              <c:numCache>
                <c:formatCode>0</c:formatCode>
                <c:ptCount val="17"/>
                <c:pt idx="0">
                  <c:v>71.6667</c:v>
                </c:pt>
                <c:pt idx="1">
                  <c:v>49.4933</c:v>
                </c:pt>
                <c:pt idx="2">
                  <c:v>58.125</c:v>
                </c:pt>
                <c:pt idx="3">
                  <c:v>52.4625</c:v>
                </c:pt>
                <c:pt idx="4">
                  <c:v>62.3836</c:v>
                </c:pt>
                <c:pt idx="5">
                  <c:v>57.2209</c:v>
                </c:pt>
                <c:pt idx="6">
                  <c:v>47.686</c:v>
                </c:pt>
                <c:pt idx="7">
                  <c:v>54.4366</c:v>
                </c:pt>
                <c:pt idx="8">
                  <c:v>65.7647</c:v>
                </c:pt>
                <c:pt idx="9">
                  <c:v>64.1613</c:v>
                </c:pt>
                <c:pt idx="10">
                  <c:v>77.1522</c:v>
                </c:pt>
                <c:pt idx="11">
                  <c:v>68.4531</c:v>
                </c:pt>
                <c:pt idx="12">
                  <c:v>50.6957</c:v>
                </c:pt>
                <c:pt idx="13">
                  <c:v>68.9063</c:v>
                </c:pt>
                <c:pt idx="14">
                  <c:v>45.3333</c:v>
                </c:pt>
                <c:pt idx="15">
                  <c:v>60.2174</c:v>
                </c:pt>
                <c:pt idx="16">
                  <c:v>64.7661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'by Activity'!$C$95</c:f>
              <c:strCache>
                <c:ptCount val="1"/>
                <c:pt idx="0">
                  <c:v>Female, Worker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Activity'!$A$96:$A$112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Activity'!$C$96:$C$112</c:f>
              <c:numCache>
                <c:formatCode>0</c:formatCode>
                <c:ptCount val="17"/>
                <c:pt idx="0">
                  <c:v>72.3043</c:v>
                </c:pt>
                <c:pt idx="1">
                  <c:v>57.0659</c:v>
                </c:pt>
                <c:pt idx="2">
                  <c:v>54.5481</c:v>
                </c:pt>
                <c:pt idx="3">
                  <c:v>56.5605</c:v>
                </c:pt>
                <c:pt idx="4">
                  <c:v>62.5598</c:v>
                </c:pt>
                <c:pt idx="5">
                  <c:v>56.4368</c:v>
                </c:pt>
                <c:pt idx="6">
                  <c:v>61.0649</c:v>
                </c:pt>
                <c:pt idx="7">
                  <c:v>63.6935</c:v>
                </c:pt>
                <c:pt idx="8">
                  <c:v>61.6073</c:v>
                </c:pt>
                <c:pt idx="9">
                  <c:v>66.9548</c:v>
                </c:pt>
                <c:pt idx="10">
                  <c:v>59.7707</c:v>
                </c:pt>
                <c:pt idx="11">
                  <c:v>68.9257</c:v>
                </c:pt>
                <c:pt idx="12">
                  <c:v>70.215</c:v>
                </c:pt>
                <c:pt idx="13">
                  <c:v>59.5573</c:v>
                </c:pt>
                <c:pt idx="14">
                  <c:v>67.4796</c:v>
                </c:pt>
                <c:pt idx="15">
                  <c:v>71.7206</c:v>
                </c:pt>
                <c:pt idx="16">
                  <c:v>64.0648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'by Activity'!$D$95</c:f>
              <c:strCache>
                <c:ptCount val="1"/>
                <c:pt idx="0">
                  <c:v>Male, Non-Worker</c:v>
                </c:pt>
              </c:strCache>
            </c:strRef>
          </c:tx>
          <c:spPr>
            <a:solidFill>
              <a:srgbClr val="FFFF00"/>
            </a:solidFill>
            <a:ln w="37800">
              <a:solidFill>
                <a:srgbClr val="FFFF00"/>
              </a:solidFill>
              <a:round/>
            </a:ln>
          </c:spPr>
          <c:marker>
            <c:symbol val="triangle"/>
            <c:size val="9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Activity'!$A$96:$A$112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Activity'!$D$96:$D$112</c:f>
              <c:numCache>
                <c:formatCode>0</c:formatCode>
                <c:ptCount val="17"/>
                <c:pt idx="0">
                  <c:v>47.9</c:v>
                </c:pt>
                <c:pt idx="1">
                  <c:v>68.24</c:v>
                </c:pt>
                <c:pt idx="2">
                  <c:v>47.5517</c:v>
                </c:pt>
                <c:pt idx="3">
                  <c:v>51.3611</c:v>
                </c:pt>
                <c:pt idx="4">
                  <c:v>40.1</c:v>
                </c:pt>
                <c:pt idx="5">
                  <c:v>65.6042</c:v>
                </c:pt>
                <c:pt idx="6">
                  <c:v>58.4054</c:v>
                </c:pt>
                <c:pt idx="7">
                  <c:v>64.1333</c:v>
                </c:pt>
                <c:pt idx="8">
                  <c:v>49.4815</c:v>
                </c:pt>
                <c:pt idx="9">
                  <c:v>43.6842</c:v>
                </c:pt>
                <c:pt idx="10">
                  <c:v>58.4444</c:v>
                </c:pt>
                <c:pt idx="11">
                  <c:v>48.8095</c:v>
                </c:pt>
                <c:pt idx="12">
                  <c:v>70.6667</c:v>
                </c:pt>
                <c:pt idx="13">
                  <c:v>74.2</c:v>
                </c:pt>
                <c:pt idx="14">
                  <c:v>40.2</c:v>
                </c:pt>
                <c:pt idx="15">
                  <c:v>57</c:v>
                </c:pt>
                <c:pt idx="16">
                  <c:v>46.2609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'by Activity'!$E$95</c:f>
              <c:strCache>
                <c:ptCount val="1"/>
                <c:pt idx="0">
                  <c:v>Male, Worker</c:v>
                </c:pt>
              </c:strCache>
            </c:strRef>
          </c:tx>
          <c:spPr>
            <a:solidFill>
              <a:srgbClr val="00FFFF"/>
            </a:solidFill>
            <a:ln w="37800">
              <a:solidFill>
                <a:srgbClr val="00FFFF"/>
              </a:solidFill>
              <a:round/>
            </a:ln>
          </c:spPr>
          <c:marker>
            <c:symbol val="x"/>
            <c:size val="9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Activity'!$A$96:$A$112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Activity'!$E$96:$E$112</c:f>
              <c:numCache>
                <c:formatCode>0</c:formatCode>
                <c:ptCount val="17"/>
                <c:pt idx="0">
                  <c:v>52.6538</c:v>
                </c:pt>
                <c:pt idx="1">
                  <c:v>52.7941</c:v>
                </c:pt>
                <c:pt idx="2">
                  <c:v>56.7686</c:v>
                </c:pt>
                <c:pt idx="3">
                  <c:v>63.4682</c:v>
                </c:pt>
                <c:pt idx="4">
                  <c:v>53.981</c:v>
                </c:pt>
                <c:pt idx="5">
                  <c:v>60.8225</c:v>
                </c:pt>
                <c:pt idx="6">
                  <c:v>67.4772</c:v>
                </c:pt>
                <c:pt idx="7">
                  <c:v>60.6592</c:v>
                </c:pt>
                <c:pt idx="8">
                  <c:v>71.6556</c:v>
                </c:pt>
                <c:pt idx="9">
                  <c:v>73.0876</c:v>
                </c:pt>
                <c:pt idx="10">
                  <c:v>72.7276</c:v>
                </c:pt>
                <c:pt idx="11">
                  <c:v>74.6705</c:v>
                </c:pt>
                <c:pt idx="12">
                  <c:v>77.9429</c:v>
                </c:pt>
                <c:pt idx="13">
                  <c:v>79.9607</c:v>
                </c:pt>
                <c:pt idx="14">
                  <c:v>78.152</c:v>
                </c:pt>
                <c:pt idx="15">
                  <c:v>67.8952</c:v>
                </c:pt>
                <c:pt idx="16">
                  <c:v>81.0437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665917"/>
        <c:axId val="75832084"/>
      </c:lineChart>
      <c:catAx>
        <c:axId val="296659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Income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5832084"/>
        <c:crossesAt val="0"/>
        <c:auto val="1"/>
        <c:lblAlgn val="ctr"/>
        <c:lblOffset val="100"/>
        <c:noMultiLvlLbl val="0"/>
      </c:catAx>
      <c:valAx>
        <c:axId val="7583208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9665917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65836239827271"/>
          <c:y val="0.89975221969853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Time at Work by Income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68842384985883"/>
          <c:y val="0.175632421270005"/>
          <c:w val="0.894369706028899"/>
          <c:h val="0.68704181724316"/>
        </c:manualLayout>
      </c:layout>
      <c:lineChart>
        <c:grouping val="standard"/>
        <c:varyColors val="0"/>
        <c:ser>
          <c:idx val="0"/>
          <c:order val="0"/>
          <c:tx>
            <c:strRef>
              <c:f>'by Activity'!$B$124</c:f>
              <c:strCache>
                <c:ptCount val="1"/>
                <c:pt idx="0">
                  <c:v>Female, Worker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Activity'!$A$125:$A$141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Activity'!$B$125:$B$141</c:f>
              <c:numCache>
                <c:formatCode>0</c:formatCode>
                <c:ptCount val="17"/>
                <c:pt idx="0">
                  <c:v>285.3913</c:v>
                </c:pt>
                <c:pt idx="1">
                  <c:v>275.1429</c:v>
                </c:pt>
                <c:pt idx="2">
                  <c:v>304.7115</c:v>
                </c:pt>
                <c:pt idx="3">
                  <c:v>306.6009</c:v>
                </c:pt>
                <c:pt idx="4">
                  <c:v>314.8696</c:v>
                </c:pt>
                <c:pt idx="5">
                  <c:v>260.7184</c:v>
                </c:pt>
                <c:pt idx="6">
                  <c:v>270.7023</c:v>
                </c:pt>
                <c:pt idx="7">
                  <c:v>295.471</c:v>
                </c:pt>
                <c:pt idx="8">
                  <c:v>303.5393</c:v>
                </c:pt>
                <c:pt idx="9">
                  <c:v>296.362</c:v>
                </c:pt>
                <c:pt idx="10">
                  <c:v>287.6293</c:v>
                </c:pt>
                <c:pt idx="11">
                  <c:v>294.6733</c:v>
                </c:pt>
                <c:pt idx="12">
                  <c:v>274.4766</c:v>
                </c:pt>
                <c:pt idx="13">
                  <c:v>258.5038</c:v>
                </c:pt>
                <c:pt idx="14">
                  <c:v>315.2551</c:v>
                </c:pt>
                <c:pt idx="15">
                  <c:v>306.3235</c:v>
                </c:pt>
                <c:pt idx="16">
                  <c:v>295.6698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'by Activity'!$C$124</c:f>
              <c:strCache>
                <c:ptCount val="1"/>
                <c:pt idx="0">
                  <c:v>Male, Worker</c:v>
                </c:pt>
              </c:strCache>
            </c:strRef>
          </c:tx>
          <c:spPr>
            <a:solidFill>
              <a:srgbClr val="FF00FF"/>
            </a:solidFill>
            <a:ln w="37800">
              <a:solidFill>
                <a:srgbClr val="FF00FF"/>
              </a:solidFill>
              <a:round/>
            </a:ln>
          </c:spPr>
          <c:marker>
            <c:symbol val="square"/>
            <c:size val="9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Activity'!$A$125:$A$141</c:f>
              <c:strCache>
                <c:ptCount val="17"/>
                <c:pt idx="0">
                  <c:v>Less Than $5,000</c:v>
                </c:pt>
                <c:pt idx="1">
                  <c:v>$5,000- $9,999</c:v>
                </c:pt>
                <c:pt idx="2">
                  <c:v>$10,000-$14,999</c:v>
                </c:pt>
                <c:pt idx="3">
                  <c:v>$15,000-$19,999</c:v>
                </c:pt>
                <c:pt idx="4">
                  <c:v>$20,000-$24,999</c:v>
                </c:pt>
                <c:pt idx="5">
                  <c:v>$25,000-$29,999</c:v>
                </c:pt>
                <c:pt idx="6">
                  <c:v>$30,000-$34,999</c:v>
                </c:pt>
                <c:pt idx="7">
                  <c:v>$35,000-$39,999</c:v>
                </c:pt>
                <c:pt idx="8">
                  <c:v>$40,000-$44,999</c:v>
                </c:pt>
                <c:pt idx="9">
                  <c:v>$45,000-$49,999</c:v>
                </c:pt>
                <c:pt idx="10">
                  <c:v>$50,000-$54,999</c:v>
                </c:pt>
                <c:pt idx="11">
                  <c:v>$55,000-$59,999</c:v>
                </c:pt>
                <c:pt idx="12">
                  <c:v>$60,000-$64,999</c:v>
                </c:pt>
                <c:pt idx="13">
                  <c:v>$65,000-$69,999</c:v>
                </c:pt>
                <c:pt idx="14">
                  <c:v>$70,000-$79,999</c:v>
                </c:pt>
                <c:pt idx="15">
                  <c:v>$75,000-$79,999</c:v>
                </c:pt>
                <c:pt idx="16">
                  <c:v>$80,000+</c:v>
                </c:pt>
              </c:strCache>
            </c:strRef>
          </c:cat>
          <c:val>
            <c:numRef>
              <c:f>'by Activity'!$C$125:$C$141</c:f>
              <c:numCache>
                <c:formatCode>0</c:formatCode>
                <c:ptCount val="17"/>
                <c:pt idx="0">
                  <c:v>317.9615</c:v>
                </c:pt>
                <c:pt idx="1">
                  <c:v>316.3235</c:v>
                </c:pt>
                <c:pt idx="2">
                  <c:v>285.281</c:v>
                </c:pt>
                <c:pt idx="3">
                  <c:v>318.4162</c:v>
                </c:pt>
                <c:pt idx="4">
                  <c:v>323.8246</c:v>
                </c:pt>
                <c:pt idx="5">
                  <c:v>329.9488</c:v>
                </c:pt>
                <c:pt idx="6">
                  <c:v>324.5046</c:v>
                </c:pt>
                <c:pt idx="7">
                  <c:v>346.4246</c:v>
                </c:pt>
                <c:pt idx="8">
                  <c:v>335.0704</c:v>
                </c:pt>
                <c:pt idx="9">
                  <c:v>352.3139</c:v>
                </c:pt>
                <c:pt idx="10">
                  <c:v>358.6463</c:v>
                </c:pt>
                <c:pt idx="11">
                  <c:v>320.345</c:v>
                </c:pt>
                <c:pt idx="12">
                  <c:v>335.2214</c:v>
                </c:pt>
                <c:pt idx="13">
                  <c:v>342.7416</c:v>
                </c:pt>
                <c:pt idx="14">
                  <c:v>330.4</c:v>
                </c:pt>
                <c:pt idx="15">
                  <c:v>368.3714</c:v>
                </c:pt>
                <c:pt idx="16">
                  <c:v>348.7775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66654"/>
        <c:axId val="59330923"/>
      </c:lineChart>
      <c:catAx>
        <c:axId val="33666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Income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9330923"/>
        <c:crossesAt val="0"/>
        <c:auto val="1"/>
        <c:lblAlgn val="ctr"/>
        <c:lblOffset val="100"/>
        <c:noMultiLvlLbl val="0"/>
      </c:catAx>
      <c:valAx>
        <c:axId val="5933092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366654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310745723301777"/>
          <c:y val="0.90283944243675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24480</xdr:colOff>
      <xdr:row>0</xdr:row>
      <xdr:rowOff>75960</xdr:rowOff>
    </xdr:from>
    <xdr:to>
      <xdr:col>15</xdr:col>
      <xdr:colOff>13320</xdr:colOff>
      <xdr:row>21</xdr:row>
      <xdr:rowOff>161640</xdr:rowOff>
    </xdr:to>
    <xdr:graphicFrame>
      <xdr:nvGraphicFramePr>
        <xdr:cNvPr id="1" name="Chart 1"/>
        <xdr:cNvGraphicFramePr/>
      </xdr:nvGraphicFramePr>
      <xdr:xfrm>
        <a:off x="5811840" y="75960"/>
        <a:ext cx="8669880" cy="348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24480</xdr:colOff>
      <xdr:row>31</xdr:row>
      <xdr:rowOff>75600</xdr:rowOff>
    </xdr:from>
    <xdr:to>
      <xdr:col>15</xdr:col>
      <xdr:colOff>13320</xdr:colOff>
      <xdr:row>52</xdr:row>
      <xdr:rowOff>162000</xdr:rowOff>
    </xdr:to>
    <xdr:graphicFrame>
      <xdr:nvGraphicFramePr>
        <xdr:cNvPr id="2" name="Chart 2"/>
        <xdr:cNvGraphicFramePr/>
      </xdr:nvGraphicFramePr>
      <xdr:xfrm>
        <a:off x="5811840" y="5095440"/>
        <a:ext cx="8669880" cy="348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24480</xdr:colOff>
      <xdr:row>60</xdr:row>
      <xdr:rowOff>75600</xdr:rowOff>
    </xdr:from>
    <xdr:to>
      <xdr:col>15</xdr:col>
      <xdr:colOff>13320</xdr:colOff>
      <xdr:row>81</xdr:row>
      <xdr:rowOff>162000</xdr:rowOff>
    </xdr:to>
    <xdr:graphicFrame>
      <xdr:nvGraphicFramePr>
        <xdr:cNvPr id="3" name="Chart 3"/>
        <xdr:cNvGraphicFramePr/>
      </xdr:nvGraphicFramePr>
      <xdr:xfrm>
        <a:off x="5811840" y="9791280"/>
        <a:ext cx="8669880" cy="348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24480</xdr:colOff>
      <xdr:row>90</xdr:row>
      <xdr:rowOff>75960</xdr:rowOff>
    </xdr:from>
    <xdr:to>
      <xdr:col>15</xdr:col>
      <xdr:colOff>13320</xdr:colOff>
      <xdr:row>111</xdr:row>
      <xdr:rowOff>162000</xdr:rowOff>
    </xdr:to>
    <xdr:graphicFrame>
      <xdr:nvGraphicFramePr>
        <xdr:cNvPr id="4" name="Chart 4"/>
        <xdr:cNvGraphicFramePr/>
      </xdr:nvGraphicFramePr>
      <xdr:xfrm>
        <a:off x="5811840" y="14649120"/>
        <a:ext cx="8669880" cy="348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24480</xdr:colOff>
      <xdr:row>120</xdr:row>
      <xdr:rowOff>75960</xdr:rowOff>
    </xdr:from>
    <xdr:to>
      <xdr:col>15</xdr:col>
      <xdr:colOff>13320</xdr:colOff>
      <xdr:row>141</xdr:row>
      <xdr:rowOff>161640</xdr:rowOff>
    </xdr:to>
    <xdr:graphicFrame>
      <xdr:nvGraphicFramePr>
        <xdr:cNvPr id="5" name="Chart 5"/>
        <xdr:cNvGraphicFramePr/>
      </xdr:nvGraphicFramePr>
      <xdr:xfrm>
        <a:off x="5811840" y="19506960"/>
        <a:ext cx="8669880" cy="348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0" width="9.57"/>
    <col collapsed="false" customWidth="true" hidden="false" outlineLevel="0" max="13" min="13" style="0" width="7.28"/>
  </cols>
  <sheetData>
    <row r="1" customFormat="false" ht="12.75" hidden="false" customHeight="false" outlineLevel="0" collapsed="false">
      <c r="B1" s="1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3"/>
      <c r="M1" s="3"/>
    </row>
    <row r="2" customFormat="false" ht="12.75" hidden="false" customHeight="false" outlineLevel="0" collapsed="false">
      <c r="A2" s="4"/>
      <c r="B2" s="4"/>
      <c r="C2" s="3" t="s">
        <v>5</v>
      </c>
      <c r="D2" s="3" t="s">
        <v>6</v>
      </c>
      <c r="E2" s="3" t="s">
        <v>5</v>
      </c>
      <c r="F2" s="3" t="s">
        <v>6</v>
      </c>
      <c r="G2" s="3" t="s">
        <v>5</v>
      </c>
      <c r="H2" s="3" t="s">
        <v>6</v>
      </c>
      <c r="I2" s="3" t="s">
        <v>5</v>
      </c>
      <c r="J2" s="3" t="s">
        <v>6</v>
      </c>
      <c r="K2" s="3" t="s">
        <v>5</v>
      </c>
      <c r="L2" s="3" t="s">
        <v>6</v>
      </c>
      <c r="M2" s="3" t="s">
        <v>7</v>
      </c>
    </row>
    <row r="3" customFormat="false" ht="12.75" hidden="false" customHeight="false" outlineLevel="0" collapsed="false">
      <c r="A3" s="4" t="s">
        <v>8</v>
      </c>
      <c r="B3" s="4" t="s">
        <v>9</v>
      </c>
      <c r="C3" s="3" t="n">
        <f aca="false">1179.1945+7.7674</f>
        <v>1186.9619</v>
      </c>
      <c r="D3" s="3" t="n">
        <v>200.8891</v>
      </c>
      <c r="E3" s="3" t="s">
        <v>10</v>
      </c>
      <c r="F3" s="3" t="s">
        <v>10</v>
      </c>
      <c r="G3" s="3" t="n">
        <v>35.4805</v>
      </c>
      <c r="H3" s="3" t="n">
        <v>64.5431</v>
      </c>
      <c r="I3" s="3" t="n">
        <v>157.6492</v>
      </c>
      <c r="J3" s="3" t="n">
        <v>176.7518</v>
      </c>
      <c r="K3" s="3" t="n">
        <v>59.9085</v>
      </c>
      <c r="L3" s="3" t="n">
        <v>66.7052</v>
      </c>
      <c r="M3" s="3" t="n">
        <v>1049</v>
      </c>
    </row>
    <row r="4" customFormat="false" ht="12.75" hidden="false" customHeight="false" outlineLevel="0" collapsed="false">
      <c r="A4" s="4" t="s">
        <v>8</v>
      </c>
      <c r="B4" s="4" t="s">
        <v>11</v>
      </c>
      <c r="C4" s="3" t="n">
        <v>963.8222</v>
      </c>
      <c r="D4" s="3" t="n">
        <v>239.7678</v>
      </c>
      <c r="E4" s="3" t="n">
        <v>290.3191</v>
      </c>
      <c r="F4" s="3" t="n">
        <v>255.9488</v>
      </c>
      <c r="G4" s="3" t="n">
        <v>25.5836</v>
      </c>
      <c r="H4" s="3" t="n">
        <v>64.2385</v>
      </c>
      <c r="I4" s="3" t="n">
        <v>97.9341</v>
      </c>
      <c r="J4" s="3" t="n">
        <v>146.5176</v>
      </c>
      <c r="K4" s="3" t="n">
        <v>62.3409</v>
      </c>
      <c r="L4" s="3" t="n">
        <v>56.0784</v>
      </c>
      <c r="M4" s="3" t="n">
        <v>3021</v>
      </c>
    </row>
    <row r="5" customFormat="false" ht="12.75" hidden="false" customHeight="false" outlineLevel="0" collapsed="false">
      <c r="A5" s="4" t="s">
        <v>12</v>
      </c>
      <c r="B5" s="4" t="s">
        <v>9</v>
      </c>
      <c r="C5" s="3" t="n">
        <f aca="false">1168.4203+13.3349</f>
        <v>1181.7552</v>
      </c>
      <c r="D5" s="3" t="n">
        <v>225.7907</v>
      </c>
      <c r="E5" s="3" t="s">
        <v>10</v>
      </c>
      <c r="F5" s="3" t="s">
        <v>10</v>
      </c>
      <c r="G5" s="3" t="n">
        <v>19.1848</v>
      </c>
      <c r="H5" s="3" t="n">
        <v>41.7914</v>
      </c>
      <c r="I5" s="3" t="n">
        <v>183.0462</v>
      </c>
      <c r="J5" s="3" t="n">
        <v>205.5784</v>
      </c>
      <c r="K5" s="3" t="n">
        <v>56.0139</v>
      </c>
      <c r="L5" s="3" t="n">
        <v>65.0979</v>
      </c>
      <c r="M5" s="3" t="n">
        <v>433</v>
      </c>
    </row>
    <row r="6" customFormat="false" ht="12.75" hidden="false" customHeight="false" outlineLevel="0" collapsed="false">
      <c r="A6" s="4" t="s">
        <v>12</v>
      </c>
      <c r="B6" s="4" t="s">
        <v>11</v>
      </c>
      <c r="C6" s="3" t="n">
        <v>923.2232</v>
      </c>
      <c r="D6" s="3" t="n">
        <v>252.6334</v>
      </c>
      <c r="E6" s="3" t="n">
        <v>336.0845</v>
      </c>
      <c r="F6" s="3" t="n">
        <v>276.2167</v>
      </c>
      <c r="G6" s="3" t="n">
        <v>13.922</v>
      </c>
      <c r="H6" s="3" t="n">
        <v>46.1658</v>
      </c>
      <c r="I6" s="3" t="n">
        <v>97.4352</v>
      </c>
      <c r="J6" s="3" t="n">
        <v>150.9923</v>
      </c>
      <c r="K6" s="3" t="n">
        <v>69.3351</v>
      </c>
      <c r="L6" s="3" t="n">
        <v>65.0494</v>
      </c>
      <c r="M6" s="3" t="n">
        <v>3656</v>
      </c>
    </row>
    <row r="7" customFormat="false" ht="12.75" hidden="false" customHeight="false" outlineLevel="0" collapsed="false">
      <c r="A7" s="0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1"/>
  <sheetViews>
    <sheetView showFormulas="false" showGridLines="true" showRowColHeaders="true" showZeros="true" rightToLeft="false" tabSelected="false" showOutlineSymbols="true" defaultGridColor="true" view="normal" topLeftCell="A62" colorId="64" zoomScale="100" zoomScaleNormal="100" zoomScalePageLayoutView="100" workbookViewId="0">
      <selection pane="topLeft" activeCell="F1" activeCellId="0" sqref="F1"/>
    </sheetView>
  </sheetViews>
  <sheetFormatPr defaultColWidth="11.421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14</v>
      </c>
    </row>
    <row r="2" customFormat="false" ht="12.75" hidden="false" customHeight="false" outlineLevel="0" collapsed="false">
      <c r="B2" s="0" t="s">
        <v>8</v>
      </c>
      <c r="D2" s="0" t="s">
        <v>12</v>
      </c>
    </row>
    <row r="3" customFormat="false" ht="12.75" hidden="false" customHeight="false" outlineLevel="0" collapsed="false">
      <c r="B3" s="0" t="s">
        <v>9</v>
      </c>
      <c r="C3" s="0" t="s">
        <v>11</v>
      </c>
      <c r="D3" s="0" t="s">
        <v>9</v>
      </c>
      <c r="E3" s="0" t="s">
        <v>11</v>
      </c>
    </row>
    <row r="4" customFormat="false" ht="12.75" hidden="false" customHeight="false" outlineLevel="0" collapsed="false">
      <c r="A4" s="4" t="s">
        <v>15</v>
      </c>
      <c r="B4" s="4" t="n">
        <v>1179.1945</v>
      </c>
      <c r="C4" s="4" t="n">
        <v>963.8222</v>
      </c>
      <c r="D4" s="4" t="n">
        <v>1168.4203</v>
      </c>
      <c r="E4" s="4" t="n">
        <v>923.2232</v>
      </c>
    </row>
    <row r="5" customFormat="false" ht="12.75" hidden="false" customHeight="false" outlineLevel="0" collapsed="false">
      <c r="A5" s="4" t="s">
        <v>16</v>
      </c>
      <c r="B5" s="0" t="s">
        <v>17</v>
      </c>
      <c r="C5" s="0" t="s">
        <v>18</v>
      </c>
      <c r="D5" s="0" t="s">
        <v>19</v>
      </c>
      <c r="E5" s="0" t="s">
        <v>20</v>
      </c>
    </row>
    <row r="6" customFormat="false" ht="12.75" hidden="false" customHeight="false" outlineLevel="0" collapsed="false">
      <c r="A6" s="4" t="s">
        <v>21</v>
      </c>
      <c r="B6" s="4" t="n">
        <v>1121.7255</v>
      </c>
      <c r="C6" s="4" t="n">
        <v>959.3478</v>
      </c>
      <c r="D6" s="4" t="n">
        <v>1071.95</v>
      </c>
      <c r="E6" s="4" t="n">
        <v>988.5385</v>
      </c>
    </row>
    <row r="7" customFormat="false" ht="12.75" hidden="false" customHeight="false" outlineLevel="0" collapsed="false">
      <c r="A7" s="4" t="s">
        <v>22</v>
      </c>
      <c r="B7" s="4" t="n">
        <v>1160.5733</v>
      </c>
      <c r="C7" s="4" t="n">
        <v>1021.7802</v>
      </c>
      <c r="D7" s="4" t="n">
        <v>1146.3</v>
      </c>
      <c r="E7" s="4" t="n">
        <v>967.5147</v>
      </c>
    </row>
    <row r="8" customFormat="false" ht="12.75" hidden="false" customHeight="false" outlineLevel="0" collapsed="false">
      <c r="A8" s="4" t="s">
        <v>23</v>
      </c>
      <c r="B8" s="4" t="n">
        <v>1199.5156</v>
      </c>
      <c r="C8" s="4" t="n">
        <v>948.0769</v>
      </c>
      <c r="D8" s="4" t="n">
        <v>1190.9655</v>
      </c>
      <c r="E8" s="4" t="n">
        <v>991.0413</v>
      </c>
    </row>
    <row r="9" customFormat="false" ht="12.75" hidden="false" customHeight="false" outlineLevel="0" collapsed="false">
      <c r="A9" s="4" t="s">
        <v>24</v>
      </c>
      <c r="B9" s="4" t="n">
        <v>1226.4125</v>
      </c>
      <c r="C9" s="4" t="n">
        <v>964.9821</v>
      </c>
      <c r="D9" s="4" t="n">
        <v>1200.6667</v>
      </c>
      <c r="E9" s="4" t="n">
        <v>949.5491</v>
      </c>
    </row>
    <row r="10" customFormat="false" ht="12.75" hidden="false" customHeight="false" outlineLevel="0" collapsed="false">
      <c r="A10" s="4" t="s">
        <v>25</v>
      </c>
      <c r="B10" s="4" t="n">
        <v>1164.4247</v>
      </c>
      <c r="C10" s="4" t="n">
        <v>955.9946</v>
      </c>
      <c r="D10" s="4" t="n">
        <v>1210.8667</v>
      </c>
      <c r="E10" s="4" t="n">
        <v>948.6635</v>
      </c>
    </row>
    <row r="11" customFormat="false" ht="12.75" hidden="false" customHeight="false" outlineLevel="0" collapsed="false">
      <c r="A11" s="4" t="s">
        <v>26</v>
      </c>
      <c r="B11" s="4" t="n">
        <v>1174.5814</v>
      </c>
      <c r="C11" s="4" t="n">
        <v>1005.5668</v>
      </c>
      <c r="D11" s="4" t="n">
        <v>1178.9375</v>
      </c>
      <c r="E11" s="4" t="n">
        <v>940.5461</v>
      </c>
    </row>
    <row r="12" customFormat="false" ht="12.75" hidden="false" customHeight="false" outlineLevel="0" collapsed="false">
      <c r="A12" s="4" t="s">
        <v>27</v>
      </c>
      <c r="B12" s="4" t="n">
        <v>1192.3721</v>
      </c>
      <c r="C12" s="4" t="n">
        <v>952.2901</v>
      </c>
      <c r="D12" s="4" t="n">
        <v>1233.5135</v>
      </c>
      <c r="E12" s="4" t="n">
        <v>931.7903</v>
      </c>
    </row>
    <row r="13" customFormat="false" ht="12.75" hidden="false" customHeight="false" outlineLevel="0" collapsed="false">
      <c r="A13" s="4" t="s">
        <v>28</v>
      </c>
      <c r="B13" s="4" t="n">
        <v>1202.8592</v>
      </c>
      <c r="C13" s="4" t="n">
        <v>955.1065</v>
      </c>
      <c r="D13" s="4" t="n">
        <v>1217.9</v>
      </c>
      <c r="E13" s="4" t="n">
        <v>930.1844</v>
      </c>
    </row>
    <row r="14" customFormat="false" ht="12.75" hidden="false" customHeight="false" outlineLevel="0" collapsed="false">
      <c r="A14" s="4" t="s">
        <v>29</v>
      </c>
      <c r="B14" s="4" t="n">
        <v>1173.1471</v>
      </c>
      <c r="C14" s="4" t="n">
        <v>952.3141</v>
      </c>
      <c r="D14" s="4" t="n">
        <v>1220.6667</v>
      </c>
      <c r="E14" s="4" t="n">
        <v>911.7444</v>
      </c>
    </row>
    <row r="15" customFormat="false" ht="12.75" hidden="false" customHeight="false" outlineLevel="0" collapsed="false">
      <c r="A15" s="4" t="s">
        <v>30</v>
      </c>
      <c r="B15" s="4" t="n">
        <v>1183.5484</v>
      </c>
      <c r="C15" s="4" t="n">
        <v>942.3167</v>
      </c>
      <c r="D15" s="4" t="n">
        <v>1119.1053</v>
      </c>
      <c r="E15" s="4" t="n">
        <v>893.7153</v>
      </c>
    </row>
    <row r="16" customFormat="false" ht="12.75" hidden="false" customHeight="false" outlineLevel="0" collapsed="false">
      <c r="A16" s="4" t="s">
        <v>31</v>
      </c>
      <c r="B16" s="4" t="n">
        <v>1186.8478</v>
      </c>
      <c r="C16" s="4" t="n">
        <v>974.4683</v>
      </c>
      <c r="D16" s="4" t="n">
        <v>1100.4815</v>
      </c>
      <c r="E16" s="4" t="n">
        <v>920.9715</v>
      </c>
    </row>
    <row r="17" customFormat="false" ht="12.75" hidden="false" customHeight="false" outlineLevel="0" collapsed="false">
      <c r="A17" s="4" t="s">
        <v>32</v>
      </c>
      <c r="B17" s="4" t="n">
        <v>1146.875</v>
      </c>
      <c r="C17" s="4" t="n">
        <v>946.4257</v>
      </c>
      <c r="D17" s="4" t="n">
        <v>1178.9524</v>
      </c>
      <c r="E17" s="4" t="n">
        <v>937.2907</v>
      </c>
    </row>
    <row r="18" customFormat="false" ht="12.75" hidden="false" customHeight="false" outlineLevel="0" collapsed="false">
      <c r="A18" s="4" t="s">
        <v>33</v>
      </c>
      <c r="B18" s="4" t="n">
        <v>1165.087</v>
      </c>
      <c r="C18" s="4" t="n">
        <v>967.0374</v>
      </c>
      <c r="D18" s="4" t="n">
        <v>1195.6667</v>
      </c>
      <c r="E18" s="4" t="n">
        <v>904.2071</v>
      </c>
    </row>
    <row r="19" customFormat="false" ht="12.75" hidden="false" customHeight="false" outlineLevel="0" collapsed="false">
      <c r="A19" s="4" t="s">
        <v>34</v>
      </c>
      <c r="B19" s="4" t="n">
        <v>1169.2813</v>
      </c>
      <c r="C19" s="4" t="n">
        <v>998.9008</v>
      </c>
      <c r="D19" s="4" t="n">
        <v>996.7</v>
      </c>
      <c r="E19" s="4" t="n">
        <v>897.6404</v>
      </c>
    </row>
    <row r="20" customFormat="false" ht="12.75" hidden="false" customHeight="false" outlineLevel="0" collapsed="false">
      <c r="A20" s="4" t="s">
        <v>35</v>
      </c>
      <c r="B20" s="4" t="n">
        <v>1239.5238</v>
      </c>
      <c r="C20" s="4" t="n">
        <v>927.0102</v>
      </c>
      <c r="D20" s="4" t="n">
        <v>1135.4</v>
      </c>
      <c r="E20" s="4" t="n">
        <v>928.416</v>
      </c>
    </row>
    <row r="21" customFormat="false" ht="12.75" hidden="false" customHeight="false" outlineLevel="0" collapsed="false">
      <c r="A21" s="4" t="s">
        <v>36</v>
      </c>
      <c r="B21" s="4" t="n">
        <v>1183.7826</v>
      </c>
      <c r="C21" s="4" t="n">
        <v>937.7206</v>
      </c>
      <c r="D21" s="4" t="n">
        <v>1120</v>
      </c>
      <c r="E21" s="4" t="n">
        <v>893.1714</v>
      </c>
    </row>
    <row r="22" customFormat="false" ht="12.75" hidden="false" customHeight="false" outlineLevel="0" collapsed="false">
      <c r="A22" s="4" t="s">
        <v>37</v>
      </c>
      <c r="B22" s="4" t="n">
        <v>1171.4355</v>
      </c>
      <c r="C22" s="4" t="n">
        <v>965.4691</v>
      </c>
      <c r="D22" s="4" t="n">
        <v>1091.3043</v>
      </c>
      <c r="E22" s="4" t="n">
        <v>891.2204</v>
      </c>
    </row>
    <row r="30" customFormat="false" ht="12.75" hidden="false" customHeight="false" outlineLevel="0" collapsed="false">
      <c r="A30" s="0" t="s">
        <v>38</v>
      </c>
    </row>
    <row r="31" customFormat="false" ht="12.75" hidden="false" customHeight="false" outlineLevel="0" collapsed="false">
      <c r="B31" s="0" t="s">
        <v>8</v>
      </c>
      <c r="D31" s="0" t="s">
        <v>12</v>
      </c>
    </row>
    <row r="32" customFormat="false" ht="12.75" hidden="false" customHeight="false" outlineLevel="0" collapsed="false">
      <c r="B32" s="0" t="s">
        <v>9</v>
      </c>
      <c r="C32" s="0" t="s">
        <v>11</v>
      </c>
      <c r="D32" s="0" t="s">
        <v>9</v>
      </c>
      <c r="E32" s="0" t="s">
        <v>11</v>
      </c>
    </row>
    <row r="33" customFormat="false" ht="12.75" hidden="false" customHeight="false" outlineLevel="0" collapsed="false">
      <c r="A33" s="4" t="s">
        <v>15</v>
      </c>
      <c r="B33" s="4" t="n">
        <v>35.4805</v>
      </c>
      <c r="C33" s="4" t="n">
        <v>25.5836</v>
      </c>
      <c r="D33" s="4" t="n">
        <v>19.1848</v>
      </c>
      <c r="E33" s="4" t="n">
        <v>13.922</v>
      </c>
    </row>
    <row r="34" customFormat="false" ht="12.75" hidden="false" customHeight="false" outlineLevel="0" collapsed="false">
      <c r="A34" s="4" t="s">
        <v>16</v>
      </c>
      <c r="B34" s="0" t="s">
        <v>17</v>
      </c>
      <c r="C34" s="0" t="s">
        <v>18</v>
      </c>
      <c r="D34" s="0" t="s">
        <v>19</v>
      </c>
      <c r="E34" s="0" t="s">
        <v>20</v>
      </c>
    </row>
    <row r="35" customFormat="false" ht="12.75" hidden="false" customHeight="false" outlineLevel="0" collapsed="false">
      <c r="A35" s="4" t="s">
        <v>21</v>
      </c>
      <c r="B35" s="4" t="n">
        <v>31.1569</v>
      </c>
      <c r="C35" s="4" t="n">
        <v>16.6522</v>
      </c>
      <c r="D35" s="4" t="n">
        <v>10.9</v>
      </c>
      <c r="E35" s="4" t="n">
        <v>4.6154</v>
      </c>
    </row>
    <row r="36" customFormat="false" ht="12.75" hidden="false" customHeight="false" outlineLevel="0" collapsed="false">
      <c r="A36" s="4" t="s">
        <v>22</v>
      </c>
      <c r="B36" s="4" t="n">
        <v>21.92</v>
      </c>
      <c r="C36" s="4" t="n">
        <v>24.0549</v>
      </c>
      <c r="D36" s="4" t="n">
        <v>11.46</v>
      </c>
      <c r="E36" s="4" t="n">
        <v>13.1912</v>
      </c>
    </row>
    <row r="37" customFormat="false" ht="12.75" hidden="false" customHeight="false" outlineLevel="0" collapsed="false">
      <c r="A37" s="4" t="s">
        <v>23</v>
      </c>
      <c r="B37" s="4" t="n">
        <v>32.4063</v>
      </c>
      <c r="C37" s="4" t="n">
        <v>16.25</v>
      </c>
      <c r="D37" s="4" t="n">
        <v>26.6897</v>
      </c>
      <c r="E37" s="4" t="n">
        <v>8.6364</v>
      </c>
    </row>
    <row r="38" customFormat="false" ht="12.75" hidden="false" customHeight="false" outlineLevel="0" collapsed="false">
      <c r="A38" s="4" t="s">
        <v>24</v>
      </c>
      <c r="B38" s="4" t="n">
        <v>32.425</v>
      </c>
      <c r="C38" s="4" t="n">
        <v>24.1031</v>
      </c>
      <c r="D38" s="4" t="n">
        <v>13.1389</v>
      </c>
      <c r="E38" s="4" t="n">
        <v>12.3064</v>
      </c>
    </row>
    <row r="39" customFormat="false" ht="12.75" hidden="false" customHeight="false" outlineLevel="0" collapsed="false">
      <c r="A39" s="4" t="s">
        <v>25</v>
      </c>
      <c r="B39" s="4" t="n">
        <v>31.3836</v>
      </c>
      <c r="C39" s="4" t="n">
        <v>22.3804</v>
      </c>
      <c r="D39" s="4" t="n">
        <v>18.3</v>
      </c>
      <c r="E39" s="4" t="n">
        <v>16.1943</v>
      </c>
    </row>
    <row r="40" customFormat="false" ht="12.75" hidden="false" customHeight="false" outlineLevel="0" collapsed="false">
      <c r="A40" s="4" t="s">
        <v>26</v>
      </c>
      <c r="B40" s="4" t="n">
        <v>26.4302</v>
      </c>
      <c r="C40" s="4" t="n">
        <v>24.639</v>
      </c>
      <c r="D40" s="4" t="n">
        <v>21.9792</v>
      </c>
      <c r="E40" s="4" t="n">
        <v>10.6519</v>
      </c>
    </row>
    <row r="41" customFormat="false" ht="12.75" hidden="false" customHeight="false" outlineLevel="0" collapsed="false">
      <c r="A41" s="4" t="s">
        <v>27</v>
      </c>
      <c r="B41" s="4" t="n">
        <v>38.8256</v>
      </c>
      <c r="C41" s="4" t="n">
        <v>25.4847</v>
      </c>
      <c r="D41" s="4" t="n">
        <v>37.1622</v>
      </c>
      <c r="E41" s="4" t="n">
        <v>20.0608</v>
      </c>
    </row>
    <row r="42" customFormat="false" ht="12.75" hidden="false" customHeight="false" outlineLevel="0" collapsed="false">
      <c r="A42" s="4" t="s">
        <v>28</v>
      </c>
      <c r="B42" s="4" t="n">
        <v>43.1408</v>
      </c>
      <c r="C42" s="4" t="n">
        <v>22.5484</v>
      </c>
      <c r="D42" s="4" t="n">
        <v>19.4</v>
      </c>
      <c r="E42" s="4" t="n">
        <v>10.5615</v>
      </c>
    </row>
    <row r="43" customFormat="false" ht="12.75" hidden="false" customHeight="false" outlineLevel="0" collapsed="false">
      <c r="A43" s="4" t="s">
        <v>29</v>
      </c>
      <c r="B43" s="4" t="n">
        <v>37.5588</v>
      </c>
      <c r="C43" s="4" t="n">
        <v>31.801</v>
      </c>
      <c r="D43" s="4" t="n">
        <v>21</v>
      </c>
      <c r="E43" s="4" t="n">
        <v>14.7889</v>
      </c>
    </row>
    <row r="44" customFormat="false" ht="12.75" hidden="false" customHeight="false" outlineLevel="0" collapsed="false">
      <c r="A44" s="4" t="s">
        <v>30</v>
      </c>
      <c r="B44" s="4" t="n">
        <v>41.9677</v>
      </c>
      <c r="C44" s="4" t="n">
        <v>32.2579</v>
      </c>
      <c r="D44" s="4" t="n">
        <v>20.2632</v>
      </c>
      <c r="E44" s="4" t="n">
        <v>14.4088</v>
      </c>
    </row>
    <row r="45" customFormat="false" ht="12.75" hidden="false" customHeight="false" outlineLevel="0" collapsed="false">
      <c r="A45" s="4" t="s">
        <v>31</v>
      </c>
      <c r="B45" s="4" t="n">
        <v>53.2609</v>
      </c>
      <c r="C45" s="4" t="n">
        <v>36.9756</v>
      </c>
      <c r="D45" s="4" t="n">
        <v>22.4074</v>
      </c>
      <c r="E45" s="4" t="n">
        <v>14.4431</v>
      </c>
    </row>
    <row r="46" customFormat="false" ht="12.75" hidden="false" customHeight="false" outlineLevel="0" collapsed="false">
      <c r="A46" s="4" t="s">
        <v>32</v>
      </c>
      <c r="B46" s="4" t="n">
        <v>35.6875</v>
      </c>
      <c r="C46" s="4" t="n">
        <v>21.1931</v>
      </c>
      <c r="D46" s="4" t="n">
        <v>21.6667</v>
      </c>
      <c r="E46" s="4" t="n">
        <v>16.2752</v>
      </c>
    </row>
    <row r="47" customFormat="false" ht="12.75" hidden="false" customHeight="false" outlineLevel="0" collapsed="false">
      <c r="A47" s="4" t="s">
        <v>33</v>
      </c>
      <c r="B47" s="4" t="n">
        <v>22.1304</v>
      </c>
      <c r="C47" s="4" t="n">
        <v>19.9346</v>
      </c>
      <c r="D47" s="4" t="n">
        <v>20</v>
      </c>
      <c r="E47" s="4" t="n">
        <v>10.6071</v>
      </c>
    </row>
    <row r="48" customFormat="false" ht="12.75" hidden="false" customHeight="false" outlineLevel="0" collapsed="false">
      <c r="A48" s="4" t="s">
        <v>34</v>
      </c>
      <c r="B48" s="4" t="n">
        <v>41.5625</v>
      </c>
      <c r="C48" s="4" t="n">
        <v>28.0229</v>
      </c>
      <c r="D48" s="4" t="n">
        <v>1.5</v>
      </c>
      <c r="E48" s="4" t="n">
        <v>18.0562</v>
      </c>
    </row>
    <row r="49" customFormat="false" ht="12.75" hidden="false" customHeight="false" outlineLevel="0" collapsed="false">
      <c r="A49" s="4" t="s">
        <v>35</v>
      </c>
      <c r="B49" s="4" t="n">
        <v>35.2381</v>
      </c>
      <c r="C49" s="4" t="n">
        <v>22.2041</v>
      </c>
      <c r="D49" s="4" t="n">
        <v>0</v>
      </c>
      <c r="E49" s="4" t="n">
        <v>20.88</v>
      </c>
    </row>
    <row r="50" customFormat="false" ht="12.75" hidden="false" customHeight="false" outlineLevel="0" collapsed="false">
      <c r="A50" s="4" t="s">
        <v>36</v>
      </c>
      <c r="B50" s="4" t="n">
        <v>36.1304</v>
      </c>
      <c r="C50" s="4" t="n">
        <v>27.5</v>
      </c>
      <c r="D50" s="4" t="n">
        <v>17</v>
      </c>
      <c r="E50" s="4" t="n">
        <v>14.7048</v>
      </c>
    </row>
    <row r="51" customFormat="false" ht="12.75" hidden="false" customHeight="false" outlineLevel="0" collapsed="false">
      <c r="A51" s="4" t="s">
        <v>37</v>
      </c>
      <c r="B51" s="4" t="n">
        <v>40.7419</v>
      </c>
      <c r="C51" s="4" t="n">
        <v>25.0833</v>
      </c>
      <c r="D51" s="4" t="n">
        <v>11.7391</v>
      </c>
      <c r="E51" s="4" t="n">
        <v>10.9002</v>
      </c>
    </row>
    <row r="61" customFormat="false" ht="12.75" hidden="false" customHeight="false" outlineLevel="0" collapsed="false">
      <c r="A61" s="0" t="s">
        <v>39</v>
      </c>
    </row>
    <row r="62" customFormat="false" ht="12.75" hidden="false" customHeight="false" outlineLevel="0" collapsed="false">
      <c r="B62" s="0" t="s">
        <v>8</v>
      </c>
      <c r="D62" s="0" t="s">
        <v>12</v>
      </c>
    </row>
    <row r="63" customFormat="false" ht="12.75" hidden="false" customHeight="false" outlineLevel="0" collapsed="false">
      <c r="B63" s="0" t="s">
        <v>9</v>
      </c>
      <c r="C63" s="0" t="s">
        <v>11</v>
      </c>
      <c r="D63" s="0" t="s">
        <v>9</v>
      </c>
      <c r="E63" s="0" t="s">
        <v>11</v>
      </c>
    </row>
    <row r="64" customFormat="false" ht="12.75" hidden="false" customHeight="false" outlineLevel="0" collapsed="false">
      <c r="A64" s="4" t="s">
        <v>15</v>
      </c>
      <c r="B64" s="4" t="n">
        <v>157.6492</v>
      </c>
      <c r="C64" s="4" t="n">
        <v>97.9341</v>
      </c>
      <c r="D64" s="4" t="n">
        <v>183.0462</v>
      </c>
      <c r="E64" s="4" t="n">
        <v>97.4352</v>
      </c>
    </row>
    <row r="65" customFormat="false" ht="12.75" hidden="false" customHeight="false" outlineLevel="0" collapsed="false">
      <c r="A65" s="4" t="s">
        <v>16</v>
      </c>
      <c r="B65" s="0" t="s">
        <v>17</v>
      </c>
      <c r="C65" s="0" t="s">
        <v>18</v>
      </c>
      <c r="D65" s="0" t="s">
        <v>19</v>
      </c>
      <c r="E65" s="0" t="s">
        <v>20</v>
      </c>
    </row>
    <row r="66" customFormat="false" ht="12.75" hidden="false" customHeight="false" outlineLevel="0" collapsed="false">
      <c r="A66" s="4" t="s">
        <v>21</v>
      </c>
      <c r="B66" s="4" t="n">
        <v>203.1961</v>
      </c>
      <c r="C66" s="4" t="n">
        <v>106.3043</v>
      </c>
      <c r="D66" s="4" t="n">
        <v>280.6</v>
      </c>
      <c r="E66" s="4" t="n">
        <v>76.2308</v>
      </c>
    </row>
    <row r="67" customFormat="false" ht="12.75" hidden="false" customHeight="false" outlineLevel="0" collapsed="false">
      <c r="A67" s="4" t="s">
        <v>22</v>
      </c>
      <c r="B67" s="4" t="n">
        <v>197.2133</v>
      </c>
      <c r="C67" s="4" t="n">
        <v>61.956</v>
      </c>
      <c r="D67" s="4" t="n">
        <v>204.5</v>
      </c>
      <c r="E67" s="4" t="n">
        <v>90.1765</v>
      </c>
    </row>
    <row r="68" customFormat="false" ht="12.75" hidden="false" customHeight="false" outlineLevel="0" collapsed="false">
      <c r="A68" s="4" t="s">
        <v>23</v>
      </c>
      <c r="B68" s="4" t="n">
        <v>149.9531</v>
      </c>
      <c r="C68" s="4" t="n">
        <v>116.4135</v>
      </c>
      <c r="D68" s="4" t="n">
        <v>156.8276</v>
      </c>
      <c r="E68" s="4" t="n">
        <v>98.2727</v>
      </c>
    </row>
    <row r="69" customFormat="false" ht="12.75" hidden="false" customHeight="false" outlineLevel="0" collapsed="false">
      <c r="A69" s="4" t="s">
        <v>24</v>
      </c>
      <c r="B69" s="4" t="n">
        <v>128.7</v>
      </c>
      <c r="C69" s="4" t="n">
        <v>87.7534</v>
      </c>
      <c r="D69" s="4" t="n">
        <v>140.6667</v>
      </c>
      <c r="E69" s="4" t="n">
        <v>96.2601</v>
      </c>
    </row>
    <row r="70" customFormat="false" ht="12.75" hidden="false" customHeight="false" outlineLevel="0" collapsed="false">
      <c r="A70" s="4" t="s">
        <v>25</v>
      </c>
      <c r="B70" s="4" t="n">
        <v>162.3836</v>
      </c>
      <c r="C70" s="4" t="n">
        <v>84.1957</v>
      </c>
      <c r="D70" s="4" t="n">
        <v>170.7333</v>
      </c>
      <c r="E70" s="4" t="n">
        <v>97.3365</v>
      </c>
    </row>
    <row r="71" customFormat="false" ht="12.75" hidden="false" customHeight="false" outlineLevel="0" collapsed="false">
      <c r="A71" s="4" t="s">
        <v>26</v>
      </c>
      <c r="B71" s="4" t="n">
        <v>181.7674</v>
      </c>
      <c r="C71" s="4" t="n">
        <v>92.639</v>
      </c>
      <c r="D71" s="4" t="n">
        <v>171.7083</v>
      </c>
      <c r="E71" s="4" t="n">
        <v>98.0307</v>
      </c>
    </row>
    <row r="72" customFormat="false" ht="12.75" hidden="false" customHeight="false" outlineLevel="0" collapsed="false">
      <c r="A72" s="4" t="s">
        <v>27</v>
      </c>
      <c r="B72" s="4" t="n">
        <v>154.4302</v>
      </c>
      <c r="C72" s="4" t="n">
        <v>130.458</v>
      </c>
      <c r="D72" s="4" t="n">
        <v>102</v>
      </c>
      <c r="E72" s="4" t="n">
        <v>96.1672</v>
      </c>
    </row>
    <row r="73" customFormat="false" ht="12.75" hidden="false" customHeight="false" outlineLevel="0" collapsed="false">
      <c r="A73" s="4" t="s">
        <v>28</v>
      </c>
      <c r="B73" s="4" t="n">
        <v>135.6901</v>
      </c>
      <c r="C73" s="4" t="n">
        <v>103.1806</v>
      </c>
      <c r="D73" s="4" t="n">
        <v>138.5667</v>
      </c>
      <c r="E73" s="4" t="n">
        <v>92.1704</v>
      </c>
    </row>
    <row r="74" customFormat="false" ht="12.75" hidden="false" customHeight="false" outlineLevel="0" collapsed="false">
      <c r="A74" s="4" t="s">
        <v>29</v>
      </c>
      <c r="B74" s="4" t="n">
        <v>159.5588</v>
      </c>
      <c r="C74" s="4" t="n">
        <v>90.7382</v>
      </c>
      <c r="D74" s="4" t="n">
        <v>148.8519</v>
      </c>
      <c r="E74" s="4" t="n">
        <v>106.7407</v>
      </c>
    </row>
    <row r="75" customFormat="false" ht="12.75" hidden="false" customHeight="false" outlineLevel="0" collapsed="false">
      <c r="A75" s="4" t="s">
        <v>30</v>
      </c>
      <c r="B75" s="4" t="n">
        <v>141.129</v>
      </c>
      <c r="C75" s="4" t="n">
        <v>102.1086</v>
      </c>
      <c r="D75" s="4" t="n">
        <v>229.0526</v>
      </c>
      <c r="E75" s="4" t="n">
        <v>106.4745</v>
      </c>
    </row>
    <row r="76" customFormat="false" ht="12.75" hidden="false" customHeight="false" outlineLevel="0" collapsed="false">
      <c r="A76" s="4" t="s">
        <v>31</v>
      </c>
      <c r="B76" s="4" t="n">
        <v>98.9783</v>
      </c>
      <c r="C76" s="4" t="n">
        <v>81.1561</v>
      </c>
      <c r="D76" s="4" t="n">
        <v>258.6667</v>
      </c>
      <c r="E76" s="4" t="n">
        <v>73.2114</v>
      </c>
    </row>
    <row r="77" customFormat="false" ht="12.75" hidden="false" customHeight="false" outlineLevel="0" collapsed="false">
      <c r="A77" s="4" t="s">
        <v>32</v>
      </c>
      <c r="B77" s="4" t="n">
        <v>162.7344</v>
      </c>
      <c r="C77" s="4" t="n">
        <v>108.7822</v>
      </c>
      <c r="D77" s="4" t="n">
        <v>165.5714</v>
      </c>
      <c r="E77" s="4" t="n">
        <v>91.4186</v>
      </c>
    </row>
    <row r="78" customFormat="false" ht="12.75" hidden="false" customHeight="false" outlineLevel="0" collapsed="false">
      <c r="A78" s="4" t="s">
        <v>33</v>
      </c>
      <c r="B78" s="4" t="n">
        <v>202.087</v>
      </c>
      <c r="C78" s="4" t="n">
        <v>108.3364</v>
      </c>
      <c r="D78" s="4" t="n">
        <v>146.4444</v>
      </c>
      <c r="E78" s="4" t="n">
        <v>112.0214</v>
      </c>
    </row>
    <row r="79" customFormat="false" ht="12.75" hidden="false" customHeight="false" outlineLevel="0" collapsed="false">
      <c r="A79" s="4" t="s">
        <v>34</v>
      </c>
      <c r="B79" s="4" t="n">
        <v>159</v>
      </c>
      <c r="C79" s="4" t="n">
        <v>95.0153</v>
      </c>
      <c r="D79" s="4" t="n">
        <v>312.1</v>
      </c>
      <c r="E79" s="4" t="n">
        <v>101.6011</v>
      </c>
    </row>
    <row r="80" customFormat="false" ht="12.75" hidden="false" customHeight="false" outlineLevel="0" collapsed="false">
      <c r="A80" s="4" t="s">
        <v>35</v>
      </c>
      <c r="B80" s="4" t="n">
        <v>106.7143</v>
      </c>
      <c r="C80" s="4" t="n">
        <v>108.051</v>
      </c>
      <c r="D80" s="4" t="n">
        <v>264.4</v>
      </c>
      <c r="E80" s="4" t="n">
        <v>82.152</v>
      </c>
    </row>
    <row r="81" customFormat="false" ht="12.75" hidden="false" customHeight="false" outlineLevel="0" collapsed="false">
      <c r="A81" s="4" t="s">
        <v>36</v>
      </c>
      <c r="B81" s="4" t="n">
        <v>153.5652</v>
      </c>
      <c r="C81" s="4" t="n">
        <v>96.7353</v>
      </c>
      <c r="D81" s="4" t="n">
        <v>64.3333</v>
      </c>
      <c r="E81" s="4" t="n">
        <v>95.8571</v>
      </c>
    </row>
    <row r="82" customFormat="false" ht="12.75" hidden="false" customHeight="false" outlineLevel="0" collapsed="false">
      <c r="A82" s="4" t="s">
        <v>37</v>
      </c>
      <c r="B82" s="4" t="n">
        <v>160.0726</v>
      </c>
      <c r="C82" s="4" t="n">
        <v>89.713</v>
      </c>
      <c r="D82" s="4" t="n">
        <v>278.7391</v>
      </c>
      <c r="E82" s="4" t="n">
        <v>108.0582</v>
      </c>
    </row>
    <row r="91" customFormat="false" ht="12.75" hidden="false" customHeight="false" outlineLevel="0" collapsed="false">
      <c r="A91" s="0" t="s">
        <v>40</v>
      </c>
    </row>
    <row r="92" customFormat="false" ht="12.75" hidden="false" customHeight="false" outlineLevel="0" collapsed="false">
      <c r="B92" s="0" t="s">
        <v>8</v>
      </c>
      <c r="D92" s="0" t="s">
        <v>12</v>
      </c>
    </row>
    <row r="93" customFormat="false" ht="12.75" hidden="false" customHeight="false" outlineLevel="0" collapsed="false">
      <c r="B93" s="0" t="s">
        <v>9</v>
      </c>
      <c r="C93" s="0" t="s">
        <v>11</v>
      </c>
      <c r="D93" s="0" t="s">
        <v>9</v>
      </c>
      <c r="E93" s="0" t="s">
        <v>11</v>
      </c>
    </row>
    <row r="94" customFormat="false" ht="12.75" hidden="false" customHeight="false" outlineLevel="0" collapsed="false">
      <c r="A94" s="4" t="s">
        <v>15</v>
      </c>
      <c r="B94" s="4" t="n">
        <v>59.9085</v>
      </c>
      <c r="C94" s="4" t="n">
        <v>62.3409</v>
      </c>
      <c r="D94" s="4" t="n">
        <v>56.0139</v>
      </c>
      <c r="E94" s="4" t="n">
        <v>69.3351</v>
      </c>
    </row>
    <row r="95" customFormat="false" ht="12.75" hidden="false" customHeight="false" outlineLevel="0" collapsed="false">
      <c r="A95" s="4" t="s">
        <v>16</v>
      </c>
      <c r="B95" s="0" t="s">
        <v>17</v>
      </c>
      <c r="C95" s="0" t="s">
        <v>18</v>
      </c>
      <c r="D95" s="0" t="s">
        <v>19</v>
      </c>
      <c r="E95" s="0" t="s">
        <v>20</v>
      </c>
    </row>
    <row r="96" customFormat="false" ht="12.75" hidden="false" customHeight="false" outlineLevel="0" collapsed="false">
      <c r="A96" s="4" t="s">
        <v>21</v>
      </c>
      <c r="B96" s="4" t="n">
        <v>71.6667</v>
      </c>
      <c r="C96" s="4" t="n">
        <v>72.3043</v>
      </c>
      <c r="D96" s="4" t="n">
        <v>47.9</v>
      </c>
      <c r="E96" s="4" t="n">
        <v>52.6538</v>
      </c>
    </row>
    <row r="97" customFormat="false" ht="12.75" hidden="false" customHeight="false" outlineLevel="0" collapsed="false">
      <c r="A97" s="4" t="s">
        <v>22</v>
      </c>
      <c r="B97" s="4" t="n">
        <v>49.4933</v>
      </c>
      <c r="C97" s="4" t="n">
        <v>57.0659</v>
      </c>
      <c r="D97" s="4" t="n">
        <v>68.24</v>
      </c>
      <c r="E97" s="4" t="n">
        <v>52.7941</v>
      </c>
    </row>
    <row r="98" customFormat="false" ht="12.75" hidden="false" customHeight="false" outlineLevel="0" collapsed="false">
      <c r="A98" s="4" t="s">
        <v>23</v>
      </c>
      <c r="B98" s="4" t="n">
        <v>58.125</v>
      </c>
      <c r="C98" s="4" t="n">
        <v>54.5481</v>
      </c>
      <c r="D98" s="4" t="n">
        <v>47.5517</v>
      </c>
      <c r="E98" s="4" t="n">
        <v>56.7686</v>
      </c>
    </row>
    <row r="99" customFormat="false" ht="12.75" hidden="false" customHeight="false" outlineLevel="0" collapsed="false">
      <c r="A99" s="4" t="s">
        <v>24</v>
      </c>
      <c r="B99" s="4" t="n">
        <v>52.4625</v>
      </c>
      <c r="C99" s="4" t="n">
        <v>56.5605</v>
      </c>
      <c r="D99" s="4" t="n">
        <v>51.3611</v>
      </c>
      <c r="E99" s="4" t="n">
        <v>63.4682</v>
      </c>
    </row>
    <row r="100" customFormat="false" ht="12.75" hidden="false" customHeight="false" outlineLevel="0" collapsed="false">
      <c r="A100" s="4" t="s">
        <v>25</v>
      </c>
      <c r="B100" s="4" t="n">
        <v>62.3836</v>
      </c>
      <c r="C100" s="4" t="n">
        <v>62.5598</v>
      </c>
      <c r="D100" s="4" t="n">
        <v>40.1</v>
      </c>
      <c r="E100" s="4" t="n">
        <v>53.981</v>
      </c>
    </row>
    <row r="101" customFormat="false" ht="12.75" hidden="false" customHeight="false" outlineLevel="0" collapsed="false">
      <c r="A101" s="4" t="s">
        <v>26</v>
      </c>
      <c r="B101" s="4" t="n">
        <v>57.2209</v>
      </c>
      <c r="C101" s="4" t="n">
        <v>56.4368</v>
      </c>
      <c r="D101" s="4" t="n">
        <v>65.6042</v>
      </c>
      <c r="E101" s="4" t="n">
        <v>60.8225</v>
      </c>
    </row>
    <row r="102" customFormat="false" ht="12.75" hidden="false" customHeight="false" outlineLevel="0" collapsed="false">
      <c r="A102" s="4" t="s">
        <v>27</v>
      </c>
      <c r="B102" s="4" t="n">
        <v>47.686</v>
      </c>
      <c r="C102" s="4" t="n">
        <v>61.0649</v>
      </c>
      <c r="D102" s="4" t="n">
        <v>58.4054</v>
      </c>
      <c r="E102" s="4" t="n">
        <v>67.4772</v>
      </c>
    </row>
    <row r="103" customFormat="false" ht="12.75" hidden="false" customHeight="false" outlineLevel="0" collapsed="false">
      <c r="A103" s="4" t="s">
        <v>28</v>
      </c>
      <c r="B103" s="4" t="n">
        <v>54.4366</v>
      </c>
      <c r="C103" s="4" t="n">
        <v>63.6935</v>
      </c>
      <c r="D103" s="4" t="n">
        <v>64.1333</v>
      </c>
      <c r="E103" s="4" t="n">
        <v>60.6592</v>
      </c>
    </row>
    <row r="104" customFormat="false" ht="12.75" hidden="false" customHeight="false" outlineLevel="0" collapsed="false">
      <c r="A104" s="4" t="s">
        <v>29</v>
      </c>
      <c r="B104" s="4" t="n">
        <v>65.7647</v>
      </c>
      <c r="C104" s="4" t="n">
        <v>61.6073</v>
      </c>
      <c r="D104" s="4" t="n">
        <v>49.4815</v>
      </c>
      <c r="E104" s="4" t="n">
        <v>71.6556</v>
      </c>
    </row>
    <row r="105" customFormat="false" ht="12.75" hidden="false" customHeight="false" outlineLevel="0" collapsed="false">
      <c r="A105" s="4" t="s">
        <v>30</v>
      </c>
      <c r="B105" s="4" t="n">
        <v>64.1613</v>
      </c>
      <c r="C105" s="4" t="n">
        <v>66.9548</v>
      </c>
      <c r="D105" s="4" t="n">
        <v>43.6842</v>
      </c>
      <c r="E105" s="4" t="n">
        <v>73.0876</v>
      </c>
    </row>
    <row r="106" customFormat="false" ht="12.75" hidden="false" customHeight="false" outlineLevel="0" collapsed="false">
      <c r="A106" s="4" t="s">
        <v>31</v>
      </c>
      <c r="B106" s="4" t="n">
        <v>77.1522</v>
      </c>
      <c r="C106" s="4" t="n">
        <v>59.7707</v>
      </c>
      <c r="D106" s="4" t="n">
        <v>58.4444</v>
      </c>
      <c r="E106" s="4" t="n">
        <v>72.7276</v>
      </c>
    </row>
    <row r="107" customFormat="false" ht="12.75" hidden="false" customHeight="false" outlineLevel="0" collapsed="false">
      <c r="A107" s="4" t="s">
        <v>32</v>
      </c>
      <c r="B107" s="4" t="n">
        <v>68.4531</v>
      </c>
      <c r="C107" s="4" t="n">
        <v>68.9257</v>
      </c>
      <c r="D107" s="4" t="n">
        <v>48.8095</v>
      </c>
      <c r="E107" s="4" t="n">
        <v>74.6705</v>
      </c>
    </row>
    <row r="108" customFormat="false" ht="12.75" hidden="false" customHeight="false" outlineLevel="0" collapsed="false">
      <c r="A108" s="4" t="s">
        <v>33</v>
      </c>
      <c r="B108" s="4" t="n">
        <v>50.6957</v>
      </c>
      <c r="C108" s="4" t="n">
        <v>70.215</v>
      </c>
      <c r="D108" s="4" t="n">
        <v>70.6667</v>
      </c>
      <c r="E108" s="4" t="n">
        <v>77.9429</v>
      </c>
    </row>
    <row r="109" customFormat="false" ht="12.75" hidden="false" customHeight="false" outlineLevel="0" collapsed="false">
      <c r="A109" s="4" t="s">
        <v>34</v>
      </c>
      <c r="B109" s="4" t="n">
        <v>68.9063</v>
      </c>
      <c r="C109" s="4" t="n">
        <v>59.5573</v>
      </c>
      <c r="D109" s="4" t="n">
        <v>74.2</v>
      </c>
      <c r="E109" s="4" t="n">
        <v>79.9607</v>
      </c>
    </row>
    <row r="110" customFormat="false" ht="12.75" hidden="false" customHeight="false" outlineLevel="0" collapsed="false">
      <c r="A110" s="4" t="s">
        <v>35</v>
      </c>
      <c r="B110" s="4" t="n">
        <v>45.3333</v>
      </c>
      <c r="C110" s="4" t="n">
        <v>67.4796</v>
      </c>
      <c r="D110" s="4" t="n">
        <v>40.2</v>
      </c>
      <c r="E110" s="4" t="n">
        <v>78.152</v>
      </c>
    </row>
    <row r="111" customFormat="false" ht="12.75" hidden="false" customHeight="false" outlineLevel="0" collapsed="false">
      <c r="A111" s="4" t="s">
        <v>36</v>
      </c>
      <c r="B111" s="4" t="n">
        <v>60.2174</v>
      </c>
      <c r="C111" s="4" t="n">
        <v>71.7206</v>
      </c>
      <c r="D111" s="4" t="n">
        <v>57</v>
      </c>
      <c r="E111" s="4" t="n">
        <v>67.8952</v>
      </c>
    </row>
    <row r="112" customFormat="false" ht="12.75" hidden="false" customHeight="false" outlineLevel="0" collapsed="false">
      <c r="A112" s="4" t="s">
        <v>37</v>
      </c>
      <c r="B112" s="4" t="n">
        <v>64.7661</v>
      </c>
      <c r="C112" s="4" t="n">
        <v>64.0648</v>
      </c>
      <c r="D112" s="4" t="n">
        <v>46.2609</v>
      </c>
      <c r="E112" s="4" t="n">
        <v>81.0437</v>
      </c>
    </row>
    <row r="120" customFormat="false" ht="12.75" hidden="false" customHeight="false" outlineLevel="0" collapsed="false">
      <c r="A120" s="0" t="s">
        <v>41</v>
      </c>
    </row>
    <row r="121" customFormat="false" ht="12.75" hidden="false" customHeight="false" outlineLevel="0" collapsed="false">
      <c r="B121" s="0" t="s">
        <v>8</v>
      </c>
      <c r="C121" s="0" t="s">
        <v>12</v>
      </c>
    </row>
    <row r="122" customFormat="false" ht="12.75" hidden="false" customHeight="false" outlineLevel="0" collapsed="false">
      <c r="B122" s="0" t="s">
        <v>11</v>
      </c>
      <c r="C122" s="0" t="s">
        <v>11</v>
      </c>
    </row>
    <row r="123" customFormat="false" ht="12.75" hidden="false" customHeight="false" outlineLevel="0" collapsed="false">
      <c r="A123" s="4" t="s">
        <v>15</v>
      </c>
      <c r="B123" s="4" t="n">
        <v>290.3191</v>
      </c>
      <c r="C123" s="4" t="n">
        <v>336.0845</v>
      </c>
    </row>
    <row r="124" customFormat="false" ht="12.75" hidden="false" customHeight="false" outlineLevel="0" collapsed="false">
      <c r="A124" s="4" t="s">
        <v>16</v>
      </c>
      <c r="B124" s="0" t="s">
        <v>18</v>
      </c>
      <c r="C124" s="0" t="s">
        <v>20</v>
      </c>
    </row>
    <row r="125" customFormat="false" ht="12.75" hidden="false" customHeight="false" outlineLevel="0" collapsed="false">
      <c r="A125" s="4" t="s">
        <v>21</v>
      </c>
      <c r="B125" s="4" t="n">
        <v>285.3913</v>
      </c>
      <c r="C125" s="4" t="n">
        <v>317.9615</v>
      </c>
    </row>
    <row r="126" customFormat="false" ht="12.75" hidden="false" customHeight="false" outlineLevel="0" collapsed="false">
      <c r="A126" s="4" t="s">
        <v>22</v>
      </c>
      <c r="B126" s="4" t="n">
        <v>275.1429</v>
      </c>
      <c r="C126" s="4" t="n">
        <v>316.3235</v>
      </c>
    </row>
    <row r="127" customFormat="false" ht="12.75" hidden="false" customHeight="false" outlineLevel="0" collapsed="false">
      <c r="A127" s="4" t="s">
        <v>23</v>
      </c>
      <c r="B127" s="4" t="n">
        <v>304.7115</v>
      </c>
      <c r="C127" s="4" t="n">
        <v>285.281</v>
      </c>
    </row>
    <row r="128" customFormat="false" ht="12.75" hidden="false" customHeight="false" outlineLevel="0" collapsed="false">
      <c r="A128" s="4" t="s">
        <v>24</v>
      </c>
      <c r="B128" s="4" t="n">
        <v>306.6009</v>
      </c>
      <c r="C128" s="4" t="n">
        <v>318.4162</v>
      </c>
    </row>
    <row r="129" customFormat="false" ht="12.75" hidden="false" customHeight="false" outlineLevel="0" collapsed="false">
      <c r="A129" s="4" t="s">
        <v>25</v>
      </c>
      <c r="B129" s="4" t="n">
        <v>314.8696</v>
      </c>
      <c r="C129" s="4" t="n">
        <v>323.8246</v>
      </c>
    </row>
    <row r="130" customFormat="false" ht="12.75" hidden="false" customHeight="false" outlineLevel="0" collapsed="false">
      <c r="A130" s="4" t="s">
        <v>26</v>
      </c>
      <c r="B130" s="4" t="n">
        <v>260.7184</v>
      </c>
      <c r="C130" s="4" t="n">
        <v>329.9488</v>
      </c>
    </row>
    <row r="131" customFormat="false" ht="12.75" hidden="false" customHeight="false" outlineLevel="0" collapsed="false">
      <c r="A131" s="4" t="s">
        <v>27</v>
      </c>
      <c r="B131" s="4" t="n">
        <v>270.7023</v>
      </c>
      <c r="C131" s="4" t="n">
        <v>324.5046</v>
      </c>
    </row>
    <row r="132" customFormat="false" ht="12.75" hidden="false" customHeight="false" outlineLevel="0" collapsed="false">
      <c r="A132" s="4" t="s">
        <v>28</v>
      </c>
      <c r="B132" s="4" t="n">
        <v>295.471</v>
      </c>
      <c r="C132" s="4" t="n">
        <v>346.4246</v>
      </c>
    </row>
    <row r="133" customFormat="false" ht="12.75" hidden="false" customHeight="false" outlineLevel="0" collapsed="false">
      <c r="A133" s="4" t="s">
        <v>29</v>
      </c>
      <c r="B133" s="4" t="n">
        <v>303.5393</v>
      </c>
      <c r="C133" s="4" t="n">
        <v>335.0704</v>
      </c>
    </row>
    <row r="134" customFormat="false" ht="12.75" hidden="false" customHeight="false" outlineLevel="0" collapsed="false">
      <c r="A134" s="4" t="s">
        <v>30</v>
      </c>
      <c r="B134" s="4" t="n">
        <v>296.362</v>
      </c>
      <c r="C134" s="4" t="n">
        <v>352.3139</v>
      </c>
    </row>
    <row r="135" customFormat="false" ht="12.75" hidden="false" customHeight="false" outlineLevel="0" collapsed="false">
      <c r="A135" s="4" t="s">
        <v>31</v>
      </c>
      <c r="B135" s="4" t="n">
        <v>287.6293</v>
      </c>
      <c r="C135" s="4" t="n">
        <v>358.6463</v>
      </c>
    </row>
    <row r="136" customFormat="false" ht="12.75" hidden="false" customHeight="false" outlineLevel="0" collapsed="false">
      <c r="A136" s="4" t="s">
        <v>32</v>
      </c>
      <c r="B136" s="4" t="n">
        <v>294.6733</v>
      </c>
      <c r="C136" s="4" t="n">
        <v>320.345</v>
      </c>
    </row>
    <row r="137" customFormat="false" ht="12.75" hidden="false" customHeight="false" outlineLevel="0" collapsed="false">
      <c r="A137" s="4" t="s">
        <v>33</v>
      </c>
      <c r="B137" s="4" t="n">
        <v>274.4766</v>
      </c>
      <c r="C137" s="4" t="n">
        <v>335.2214</v>
      </c>
    </row>
    <row r="138" customFormat="false" ht="12.75" hidden="false" customHeight="false" outlineLevel="0" collapsed="false">
      <c r="A138" s="4" t="s">
        <v>34</v>
      </c>
      <c r="B138" s="4" t="n">
        <v>258.5038</v>
      </c>
      <c r="C138" s="4" t="n">
        <v>342.7416</v>
      </c>
    </row>
    <row r="139" customFormat="false" ht="12.75" hidden="false" customHeight="false" outlineLevel="0" collapsed="false">
      <c r="A139" s="4" t="s">
        <v>35</v>
      </c>
      <c r="B139" s="4" t="n">
        <v>315.2551</v>
      </c>
      <c r="C139" s="4" t="n">
        <v>330.4</v>
      </c>
    </row>
    <row r="140" customFormat="false" ht="12.75" hidden="false" customHeight="false" outlineLevel="0" collapsed="false">
      <c r="A140" s="4" t="s">
        <v>36</v>
      </c>
      <c r="B140" s="4" t="n">
        <v>306.3235</v>
      </c>
      <c r="C140" s="4" t="n">
        <v>368.3714</v>
      </c>
    </row>
    <row r="141" customFormat="false" ht="12.75" hidden="false" customHeight="false" outlineLevel="0" collapsed="false">
      <c r="A141" s="4" t="s">
        <v>37</v>
      </c>
      <c r="B141" s="4" t="n">
        <v>295.6698</v>
      </c>
      <c r="C141" s="4" t="n">
        <v>348.7775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A1" activeCellId="0" sqref="A1:X3"/>
    </sheetView>
  </sheetViews>
  <sheetFormatPr defaultColWidth="10.70703125" defaultRowHeight="12.75" customHeight="false" zeroHeight="false" outlineLevelRow="0" outlineLevelCol="0"/>
  <cols>
    <col collapsed="false" customWidth="false" hidden="false" outlineLevel="0" max="257" min="1" style="4" width="10.71"/>
  </cols>
  <sheetData>
    <row r="1" customFormat="false" ht="12.75" hidden="false" customHeight="false" outlineLevel="0" collapsed="false">
      <c r="B1" s="4" t="s">
        <v>14</v>
      </c>
      <c r="G1" s="4" t="s">
        <v>41</v>
      </c>
      <c r="L1" s="4" t="s">
        <v>38</v>
      </c>
      <c r="Q1" s="4" t="s">
        <v>42</v>
      </c>
      <c r="V1" s="4" t="s">
        <v>43</v>
      </c>
      <c r="AA1" s="4" t="s">
        <v>44</v>
      </c>
    </row>
    <row r="2" customFormat="false" ht="12.75" hidden="false" customHeight="false" outlineLevel="0" collapsed="false">
      <c r="B2" s="4" t="s">
        <v>5</v>
      </c>
      <c r="C2" s="4" t="s">
        <v>6</v>
      </c>
      <c r="D2" s="4" t="s">
        <v>7</v>
      </c>
      <c r="E2" s="5" t="s">
        <v>45</v>
      </c>
      <c r="G2" s="4" t="s">
        <v>5</v>
      </c>
      <c r="H2" s="4" t="s">
        <v>6</v>
      </c>
      <c r="I2" s="4" t="s">
        <v>7</v>
      </c>
      <c r="J2" s="5" t="s">
        <v>45</v>
      </c>
      <c r="L2" s="4" t="s">
        <v>5</v>
      </c>
      <c r="M2" s="4" t="s">
        <v>6</v>
      </c>
      <c r="N2" s="4" t="s">
        <v>7</v>
      </c>
      <c r="O2" s="5" t="s">
        <v>45</v>
      </c>
      <c r="Q2" s="4" t="s">
        <v>5</v>
      </c>
      <c r="R2" s="4" t="s">
        <v>6</v>
      </c>
      <c r="S2" s="4" t="s">
        <v>7</v>
      </c>
      <c r="T2" s="5" t="s">
        <v>45</v>
      </c>
      <c r="V2" s="4" t="s">
        <v>5</v>
      </c>
      <c r="W2" s="4" t="s">
        <v>6</v>
      </c>
      <c r="X2" s="4" t="s">
        <v>7</v>
      </c>
      <c r="Y2" s="5" t="s">
        <v>45</v>
      </c>
    </row>
    <row r="3" customFormat="false" ht="12.75" hidden="false" customHeight="false" outlineLevel="0" collapsed="false">
      <c r="A3" s="4" t="s">
        <v>15</v>
      </c>
      <c r="B3" s="4" t="n">
        <v>1179.1945</v>
      </c>
      <c r="C3" s="4" t="n">
        <v>200.8891</v>
      </c>
      <c r="D3" s="4" t="n">
        <v>1049</v>
      </c>
      <c r="E3" s="5"/>
      <c r="G3" s="4" t="n">
        <v>7.7674</v>
      </c>
      <c r="H3" s="4" t="n">
        <v>58.1945</v>
      </c>
      <c r="I3" s="4" t="n">
        <v>1049</v>
      </c>
      <c r="J3" s="5"/>
      <c r="L3" s="4" t="n">
        <v>35.4805</v>
      </c>
      <c r="M3" s="4" t="n">
        <v>64.5431</v>
      </c>
      <c r="N3" s="4" t="n">
        <v>1049</v>
      </c>
      <c r="O3" s="5"/>
      <c r="Q3" s="4" t="n">
        <v>157.6492</v>
      </c>
      <c r="R3" s="4" t="n">
        <v>176.7518</v>
      </c>
      <c r="S3" s="4" t="n">
        <v>1049</v>
      </c>
      <c r="T3" s="5"/>
      <c r="V3" s="4" t="n">
        <v>59.9085</v>
      </c>
      <c r="W3" s="4" t="n">
        <v>66.7052</v>
      </c>
      <c r="X3" s="4" t="n">
        <v>1049</v>
      </c>
      <c r="Y3" s="5"/>
      <c r="AA3" s="4" t="n">
        <f aca="false">V3+Q3+L3+G3+B3</f>
        <v>1440.0001</v>
      </c>
    </row>
    <row r="4" customFormat="false" ht="12.75" hidden="false" customHeight="false" outlineLevel="0" collapsed="false">
      <c r="A4" s="4" t="s">
        <v>16</v>
      </c>
      <c r="E4" s="5"/>
      <c r="J4" s="5"/>
      <c r="O4" s="5"/>
      <c r="T4" s="5"/>
      <c r="Y4" s="5"/>
    </row>
    <row r="5" customFormat="false" ht="12.75" hidden="false" customHeight="false" outlineLevel="0" collapsed="false">
      <c r="A5" s="4" t="n">
        <v>1</v>
      </c>
      <c r="B5" s="4" t="n">
        <v>1121.7255</v>
      </c>
      <c r="C5" s="4" t="n">
        <v>176.0856</v>
      </c>
      <c r="D5" s="4" t="n">
        <v>51</v>
      </c>
      <c r="E5" s="5" t="n">
        <f aca="false">(B5-B$3)/SQRT(C5^2/D5+C$3^2/D$3)</f>
        <v>-2.26032695515148</v>
      </c>
      <c r="G5" s="4" t="n">
        <v>12.2549</v>
      </c>
      <c r="H5" s="4" t="n">
        <v>66.7481</v>
      </c>
      <c r="I5" s="4" t="n">
        <v>51</v>
      </c>
      <c r="J5" s="5" t="n">
        <f aca="false">(G5-G$3)/SQRT(H5^2/I5+H$3^2/I$3)</f>
        <v>0.471487900520462</v>
      </c>
      <c r="L5" s="4" t="n">
        <v>31.1569</v>
      </c>
      <c r="M5" s="4" t="n">
        <v>60.4554</v>
      </c>
      <c r="N5" s="4" t="n">
        <v>51</v>
      </c>
      <c r="O5" s="5" t="n">
        <f aca="false">(L5-L$3)/SQRT(M5^2/N5+M$3^2/N$3)</f>
        <v>-0.497146000913191</v>
      </c>
      <c r="Q5" s="4" t="n">
        <v>203.1961</v>
      </c>
      <c r="R5" s="4" t="n">
        <v>183.6217</v>
      </c>
      <c r="S5" s="4" t="n">
        <v>51</v>
      </c>
      <c r="T5" s="5" t="n">
        <f aca="false">(Q5-Q$3)/SQRT(R5^2/S5+R$3^2/S$3)</f>
        <v>1.73281346139792</v>
      </c>
      <c r="V5" s="4" t="n">
        <v>71.6667</v>
      </c>
      <c r="W5" s="4" t="n">
        <v>86.0964</v>
      </c>
      <c r="X5" s="4" t="n">
        <v>51</v>
      </c>
      <c r="Y5" s="5" t="n">
        <f aca="false">(V5-V$3)/SQRT(W5^2/X5+W$3^2/X$3)</f>
        <v>0.961378567734411</v>
      </c>
      <c r="AA5" s="4" t="n">
        <f aca="false">V5+Q5+L5+G5+B5</f>
        <v>1440.0001</v>
      </c>
    </row>
    <row r="6" customFormat="false" ht="12.75" hidden="false" customHeight="false" outlineLevel="0" collapsed="false">
      <c r="A6" s="4" t="n">
        <v>2</v>
      </c>
      <c r="B6" s="4" t="n">
        <v>1160.5733</v>
      </c>
      <c r="C6" s="4" t="n">
        <v>229.5356</v>
      </c>
      <c r="D6" s="4" t="n">
        <v>75</v>
      </c>
      <c r="E6" s="5" t="n">
        <f aca="false">(B6-B$3)/SQRT(C6^2/D6+C$3^2/D$3)</f>
        <v>-0.684085697063852</v>
      </c>
      <c r="G6" s="4" t="n">
        <v>10.8</v>
      </c>
      <c r="H6" s="4" t="n">
        <v>66.7946</v>
      </c>
      <c r="I6" s="4" t="n">
        <v>75</v>
      </c>
      <c r="J6" s="5" t="n">
        <f aca="false">(G6-G$3)/SQRT(H6^2/I6+H$3^2/I$3)</f>
        <v>0.38293785576706</v>
      </c>
      <c r="L6" s="4" t="n">
        <v>21.92</v>
      </c>
      <c r="M6" s="4" t="n">
        <v>57.7662</v>
      </c>
      <c r="N6" s="4" t="n">
        <v>75</v>
      </c>
      <c r="O6" s="5" t="n">
        <f aca="false">(L6-L$3)/SQRT(M6^2/N6+M$3^2/N$3)</f>
        <v>-1.94790395098661</v>
      </c>
      <c r="Q6" s="4" t="n">
        <v>197.2133</v>
      </c>
      <c r="R6" s="4" t="n">
        <v>221.3191</v>
      </c>
      <c r="S6" s="4" t="n">
        <v>75</v>
      </c>
      <c r="T6" s="5" t="n">
        <f aca="false">(Q6-Q$3)/SQRT(R6^2/S6+R$3^2/S$3)</f>
        <v>1.51401439233947</v>
      </c>
      <c r="V6" s="4" t="n">
        <v>49.4933</v>
      </c>
      <c r="W6" s="4" t="n">
        <v>40.6117</v>
      </c>
      <c r="X6" s="4" t="n">
        <v>75</v>
      </c>
      <c r="Y6" s="5" t="n">
        <f aca="false">(V6-V$3)/SQRT(W6^2/X6+W$3^2/X$3)</f>
        <v>-2.03351525549903</v>
      </c>
      <c r="AA6" s="4" t="n">
        <f aca="false">V6+Q6+L6+G6+B6</f>
        <v>1439.9999</v>
      </c>
    </row>
    <row r="7" customFormat="false" ht="12.75" hidden="false" customHeight="false" outlineLevel="0" collapsed="false">
      <c r="A7" s="4" t="n">
        <v>3</v>
      </c>
      <c r="B7" s="4" t="n">
        <v>1199.5156</v>
      </c>
      <c r="C7" s="4" t="n">
        <v>182.1046</v>
      </c>
      <c r="D7" s="4" t="n">
        <v>64</v>
      </c>
      <c r="E7" s="5" t="n">
        <f aca="false">(B7-B$3)/SQRT(C7^2/D7+C$3^2/D$3)</f>
        <v>0.861319600461648</v>
      </c>
      <c r="G7" s="4" t="n">
        <v>0</v>
      </c>
      <c r="H7" s="4" t="n">
        <v>0</v>
      </c>
      <c r="I7" s="4" t="n">
        <v>64</v>
      </c>
      <c r="J7" s="5" t="n">
        <f aca="false">(G7-G$3)/SQRT(H7^2/I7+H$3^2/I$3)</f>
        <v>-4.32296255436256</v>
      </c>
      <c r="L7" s="4" t="n">
        <v>32.4063</v>
      </c>
      <c r="M7" s="4" t="n">
        <v>63.6101</v>
      </c>
      <c r="N7" s="4" t="n">
        <v>64</v>
      </c>
      <c r="O7" s="5" t="n">
        <f aca="false">(L7-L$3)/SQRT(M7^2/N7+M$3^2/N$3)</f>
        <v>-0.375031309215025</v>
      </c>
      <c r="Q7" s="4" t="n">
        <v>149.9531</v>
      </c>
      <c r="R7" s="4" t="n">
        <v>158.5583</v>
      </c>
      <c r="S7" s="4" t="n">
        <v>64</v>
      </c>
      <c r="T7" s="5" t="n">
        <f aca="false">(Q7-Q$3)/SQRT(R7^2/S7+R$3^2/S$3)</f>
        <v>-0.374371641081757</v>
      </c>
      <c r="V7" s="4" t="n">
        <v>58.125</v>
      </c>
      <c r="W7" s="4" t="n">
        <v>51.2456</v>
      </c>
      <c r="X7" s="4" t="n">
        <v>64</v>
      </c>
      <c r="Y7" s="5" t="n">
        <f aca="false">(V7-V$3)/SQRT(W7^2/X7+W$3^2/X$3)</f>
        <v>-0.265060598532422</v>
      </c>
      <c r="AA7" s="4" t="n">
        <f aca="false">V7+Q7+L7+G7+B7</f>
        <v>1440</v>
      </c>
    </row>
    <row r="8" customFormat="false" ht="12.75" hidden="false" customHeight="false" outlineLevel="0" collapsed="false">
      <c r="A8" s="4" t="n">
        <v>4</v>
      </c>
      <c r="B8" s="4" t="n">
        <v>1226.4125</v>
      </c>
      <c r="C8" s="4" t="n">
        <v>167.4969</v>
      </c>
      <c r="D8" s="4" t="n">
        <v>80</v>
      </c>
      <c r="E8" s="5" t="n">
        <f aca="false">(B8-B$3)/SQRT(C8^2/D8+C$3^2/D$3)</f>
        <v>2.39355088812961</v>
      </c>
      <c r="G8" s="4" t="n">
        <v>0</v>
      </c>
      <c r="H8" s="4" t="n">
        <v>0</v>
      </c>
      <c r="I8" s="4" t="n">
        <v>80</v>
      </c>
      <c r="J8" s="5" t="n">
        <f aca="false">(G8-G$3)/SQRT(H8^2/I8+H$3^2/I$3)</f>
        <v>-4.32296255436256</v>
      </c>
      <c r="L8" s="4" t="n">
        <v>32.425</v>
      </c>
      <c r="M8" s="4" t="n">
        <v>54.9015</v>
      </c>
      <c r="N8" s="4" t="n">
        <v>80</v>
      </c>
      <c r="O8" s="5" t="n">
        <f aca="false">(L8-L$3)/SQRT(M8^2/N8+M$3^2/N$3)</f>
        <v>-0.473459786152114</v>
      </c>
      <c r="Q8" s="4" t="n">
        <v>128.7</v>
      </c>
      <c r="R8" s="4" t="n">
        <v>154.4651</v>
      </c>
      <c r="S8" s="4" t="n">
        <v>80</v>
      </c>
      <c r="T8" s="5" t="n">
        <f aca="false">(Q8-Q$3)/SQRT(R8^2/S8+R$3^2/S$3)</f>
        <v>-1.59839070515272</v>
      </c>
      <c r="V8" s="4" t="n">
        <v>52.4625</v>
      </c>
      <c r="W8" s="4" t="n">
        <v>59.2608</v>
      </c>
      <c r="X8" s="4" t="n">
        <v>80</v>
      </c>
      <c r="Y8" s="5" t="n">
        <f aca="false">(V8-V$3)/SQRT(W8^2/X8+W$3^2/X$3)</f>
        <v>-1.07317619861018</v>
      </c>
      <c r="AA8" s="4" t="n">
        <f aca="false">V8+Q8+L8+G8+B8</f>
        <v>1440</v>
      </c>
    </row>
    <row r="9" customFormat="false" ht="12.75" hidden="false" customHeight="false" outlineLevel="0" collapsed="false">
      <c r="A9" s="4" t="n">
        <v>5</v>
      </c>
      <c r="B9" s="4" t="n">
        <v>1164.4247</v>
      </c>
      <c r="C9" s="4" t="n">
        <v>194.9176</v>
      </c>
      <c r="D9" s="4" t="n">
        <v>73</v>
      </c>
      <c r="E9" s="5" t="n">
        <f aca="false">(B9-B$3)/SQRT(C9^2/D9+C$3^2/D$3)</f>
        <v>-0.624739779514114</v>
      </c>
      <c r="G9" s="4" t="n">
        <v>19.4247</v>
      </c>
      <c r="H9" s="4" t="n">
        <v>98.5175</v>
      </c>
      <c r="I9" s="4" t="n">
        <v>73</v>
      </c>
      <c r="J9" s="5" t="n">
        <f aca="false">(G9-G$3)/SQRT(H9^2/I9+H$3^2/I$3)</f>
        <v>0.998932745738747</v>
      </c>
      <c r="L9" s="4" t="n">
        <v>31.3836</v>
      </c>
      <c r="M9" s="4" t="n">
        <v>64.4256</v>
      </c>
      <c r="N9" s="4" t="n">
        <v>73</v>
      </c>
      <c r="O9" s="5" t="n">
        <f aca="false">(L9-L$3)/SQRT(M9^2/N9+M$3^2/N$3)</f>
        <v>-0.5252887050063</v>
      </c>
      <c r="Q9" s="4" t="n">
        <v>162.3836</v>
      </c>
      <c r="R9" s="4" t="n">
        <v>154.4558</v>
      </c>
      <c r="S9" s="4" t="n">
        <v>73</v>
      </c>
      <c r="T9" s="5" t="n">
        <f aca="false">(Q9-Q$3)/SQRT(R9^2/S9+R$3^2/S$3)</f>
        <v>0.250716946077371</v>
      </c>
      <c r="V9" s="4" t="n">
        <v>62.3836</v>
      </c>
      <c r="W9" s="4" t="n">
        <v>70.0896</v>
      </c>
      <c r="X9" s="4" t="n">
        <v>73</v>
      </c>
      <c r="Y9" s="5" t="n">
        <f aca="false">(V9-V$3)/SQRT(W9^2/X9+W$3^2/X$3)</f>
        <v>0.292635812827381</v>
      </c>
      <c r="AA9" s="4" t="n">
        <f aca="false">V9+Q9+L9+G9+B9</f>
        <v>1440.0002</v>
      </c>
    </row>
    <row r="10" customFormat="false" ht="12.75" hidden="false" customHeight="false" outlineLevel="0" collapsed="false">
      <c r="A10" s="4" t="n">
        <v>6</v>
      </c>
      <c r="B10" s="4" t="n">
        <v>1174.5814</v>
      </c>
      <c r="C10" s="4" t="n">
        <v>221.6818</v>
      </c>
      <c r="D10" s="4" t="n">
        <v>86</v>
      </c>
      <c r="E10" s="5" t="n">
        <f aca="false">(B10-B$3)/SQRT(C10^2/D10+C$3^2/D$3)</f>
        <v>-0.186794350722302</v>
      </c>
      <c r="G10" s="4" t="n">
        <v>0</v>
      </c>
      <c r="H10" s="4" t="n">
        <v>0</v>
      </c>
      <c r="I10" s="4" t="n">
        <v>86</v>
      </c>
      <c r="J10" s="5" t="n">
        <f aca="false">(G10-G$3)/SQRT(H10^2/I10+H$3^2/I$3)</f>
        <v>-4.32296255436256</v>
      </c>
      <c r="L10" s="4" t="n">
        <v>26.4302</v>
      </c>
      <c r="M10" s="4" t="n">
        <v>61.4102</v>
      </c>
      <c r="N10" s="4" t="n">
        <v>86</v>
      </c>
      <c r="O10" s="5" t="n">
        <f aca="false">(L10-L$3)/SQRT(M10^2/N10+M$3^2/N$3)</f>
        <v>-1.30871985884919</v>
      </c>
      <c r="Q10" s="4" t="n">
        <v>181.7674</v>
      </c>
      <c r="R10" s="4" t="n">
        <v>205.4732</v>
      </c>
      <c r="S10" s="4" t="n">
        <v>86</v>
      </c>
      <c r="T10" s="5" t="n">
        <f aca="false">(Q10-Q$3)/SQRT(R10^2/S10+R$3^2/S$3)</f>
        <v>1.0569385896225</v>
      </c>
      <c r="V10" s="4" t="n">
        <v>57.2209</v>
      </c>
      <c r="W10" s="4" t="n">
        <v>65.6748</v>
      </c>
      <c r="X10" s="4" t="n">
        <v>86</v>
      </c>
      <c r="Y10" s="5" t="n">
        <f aca="false">(V10-V$3)/SQRT(W10^2/X10+W$3^2/X$3)</f>
        <v>-0.364405727591597</v>
      </c>
      <c r="AA10" s="4" t="n">
        <f aca="false">V10+Q10+L10+G10+B10</f>
        <v>1439.9999</v>
      </c>
    </row>
    <row r="11" customFormat="false" ht="12.75" hidden="false" customHeight="false" outlineLevel="0" collapsed="false">
      <c r="A11" s="4" t="n">
        <v>7</v>
      </c>
      <c r="B11" s="4" t="n">
        <v>1192.3721</v>
      </c>
      <c r="C11" s="4" t="n">
        <v>213.6838</v>
      </c>
      <c r="D11" s="4" t="n">
        <v>86</v>
      </c>
      <c r="E11" s="5" t="n">
        <f aca="false">(B11-B$3)/SQRT(C11^2/D11+C$3^2/D$3)</f>
        <v>0.552234573614428</v>
      </c>
      <c r="G11" s="4" t="n">
        <v>6.686</v>
      </c>
      <c r="H11" s="4" t="n">
        <v>56.3164</v>
      </c>
      <c r="I11" s="4" t="n">
        <v>86</v>
      </c>
      <c r="J11" s="5" t="n">
        <f aca="false">(G11-G$3)/SQRT(H11^2/I11+H$3^2/I$3)</f>
        <v>-0.170756664277</v>
      </c>
      <c r="L11" s="4" t="n">
        <v>38.8256</v>
      </c>
      <c r="M11" s="4" t="n">
        <v>54.8015</v>
      </c>
      <c r="N11" s="4" t="n">
        <v>86</v>
      </c>
      <c r="O11" s="5" t="n">
        <f aca="false">(L11-L$3)/SQRT(M11^2/N11+M$3^2/N$3)</f>
        <v>0.536386491135931</v>
      </c>
      <c r="Q11" s="4" t="n">
        <v>154.4302</v>
      </c>
      <c r="R11" s="4" t="n">
        <v>203.8499</v>
      </c>
      <c r="S11" s="4" t="n">
        <v>86</v>
      </c>
      <c r="T11" s="5" t="n">
        <f aca="false">(Q11-Q$3)/SQRT(R11^2/S11+R$3^2/S$3)</f>
        <v>-0.142125504844342</v>
      </c>
      <c r="V11" s="4" t="n">
        <v>47.686</v>
      </c>
      <c r="W11" s="4" t="n">
        <v>38.0091</v>
      </c>
      <c r="X11" s="4" t="n">
        <v>86</v>
      </c>
      <c r="Y11" s="5" t="n">
        <f aca="false">(V11-V$3)/SQRT(W11^2/X11+W$3^2/X$3)</f>
        <v>-2.66460129400696</v>
      </c>
      <c r="AA11" s="4" t="n">
        <f aca="false">V11+Q11+L11+G11+B11</f>
        <v>1439.9999</v>
      </c>
    </row>
    <row r="12" customFormat="false" ht="12.75" hidden="false" customHeight="false" outlineLevel="0" collapsed="false">
      <c r="A12" s="4" t="n">
        <v>8</v>
      </c>
      <c r="B12" s="4" t="n">
        <v>1202.8592</v>
      </c>
      <c r="C12" s="4" t="n">
        <v>207.8531</v>
      </c>
      <c r="D12" s="4" t="n">
        <v>71</v>
      </c>
      <c r="E12" s="5" t="n">
        <f aca="false">(B12-B$3)/SQRT(C12^2/D12+C$3^2/D$3)</f>
        <v>0.930381930737807</v>
      </c>
      <c r="G12" s="4" t="n">
        <v>3.8732</v>
      </c>
      <c r="H12" s="4" t="n">
        <v>32.6365</v>
      </c>
      <c r="I12" s="4" t="n">
        <v>71</v>
      </c>
      <c r="J12" s="5" t="n">
        <f aca="false">(G12-G$3)/SQRT(H12^2/I12+H$3^2/I$3)</f>
        <v>-0.912053271909223</v>
      </c>
      <c r="L12" s="4" t="n">
        <v>43.1408</v>
      </c>
      <c r="M12" s="4" t="n">
        <v>67.0989</v>
      </c>
      <c r="N12" s="4" t="n">
        <v>71</v>
      </c>
      <c r="O12" s="5" t="n">
        <f aca="false">(L12-L$3)/SQRT(M12^2/N12+M$3^2/N$3)</f>
        <v>0.933188591353811</v>
      </c>
      <c r="Q12" s="4" t="n">
        <v>135.6901</v>
      </c>
      <c r="R12" s="4" t="n">
        <v>163.6094</v>
      </c>
      <c r="S12" s="4" t="n">
        <v>71</v>
      </c>
      <c r="T12" s="5" t="n">
        <f aca="false">(Q12-Q$3)/SQRT(R12^2/S12+R$3^2/S$3)</f>
        <v>-1.08874442992392</v>
      </c>
      <c r="V12" s="4" t="n">
        <v>54.4366</v>
      </c>
      <c r="W12" s="4" t="n">
        <v>72.1419</v>
      </c>
      <c r="X12" s="4" t="n">
        <v>71</v>
      </c>
      <c r="Y12" s="5" t="n">
        <f aca="false">(V12-V$3)/SQRT(W12^2/X12+W$3^2/X$3)</f>
        <v>-0.62139008810111</v>
      </c>
      <c r="AA12" s="4" t="n">
        <f aca="false">V12+Q12+L12+G12+B12</f>
        <v>1439.9999</v>
      </c>
    </row>
    <row r="13" customFormat="false" ht="12.75" hidden="false" customHeight="false" outlineLevel="0" collapsed="false">
      <c r="A13" s="4" t="n">
        <v>9</v>
      </c>
      <c r="B13" s="4" t="n">
        <v>1173.1471</v>
      </c>
      <c r="C13" s="4" t="n">
        <v>211.8488</v>
      </c>
      <c r="D13" s="4" t="n">
        <v>68</v>
      </c>
      <c r="E13" s="5" t="n">
        <f aca="false">(B13-B$3)/SQRT(C13^2/D13+C$3^2/D$3)</f>
        <v>-0.228820428578689</v>
      </c>
      <c r="G13" s="4" t="n">
        <v>3.9706</v>
      </c>
      <c r="H13" s="4" t="n">
        <v>30.3777</v>
      </c>
      <c r="I13" s="4" t="n">
        <v>68</v>
      </c>
      <c r="J13" s="5" t="n">
        <f aca="false">(G13-G$3)/SQRT(H13^2/I13+H$3^2/I$3)</f>
        <v>-0.926350139336898</v>
      </c>
      <c r="L13" s="4" t="n">
        <v>37.5588</v>
      </c>
      <c r="M13" s="4" t="n">
        <v>69.1961</v>
      </c>
      <c r="N13" s="4" t="n">
        <v>68</v>
      </c>
      <c r="O13" s="5" t="n">
        <f aca="false">(L13-L$3)/SQRT(M13^2/N13+M$3^2/N$3)</f>
        <v>0.240972302627681</v>
      </c>
      <c r="Q13" s="4" t="n">
        <v>159.5588</v>
      </c>
      <c r="R13" s="4" t="n">
        <v>167.7528</v>
      </c>
      <c r="S13" s="4" t="n">
        <v>68</v>
      </c>
      <c r="T13" s="5" t="n">
        <f aca="false">(Q13-Q$3)/SQRT(R13^2/S13+R$3^2/S$3)</f>
        <v>0.0906643962735167</v>
      </c>
      <c r="V13" s="4" t="n">
        <v>65.7647</v>
      </c>
      <c r="W13" s="4" t="n">
        <v>71.3003</v>
      </c>
      <c r="X13" s="4" t="n">
        <v>68</v>
      </c>
      <c r="Y13" s="5" t="n">
        <f aca="false">(V13-V$3)/SQRT(W13^2/X13+W$3^2/X$3)</f>
        <v>0.658863490280144</v>
      </c>
      <c r="AA13" s="4" t="n">
        <f aca="false">V13+Q13+L13+G13+B13</f>
        <v>1440</v>
      </c>
    </row>
    <row r="14" customFormat="false" ht="12.75" hidden="false" customHeight="false" outlineLevel="0" collapsed="false">
      <c r="A14" s="4" t="n">
        <v>10</v>
      </c>
      <c r="B14" s="4" t="n">
        <v>1183.5484</v>
      </c>
      <c r="C14" s="4" t="n">
        <v>214.3567</v>
      </c>
      <c r="D14" s="4" t="n">
        <v>62</v>
      </c>
      <c r="E14" s="5" t="n">
        <f aca="false">(B14-B$3)/SQRT(C14^2/D14+C$3^2/D$3)</f>
        <v>0.155936523160876</v>
      </c>
      <c r="G14" s="4" t="n">
        <v>9.1935</v>
      </c>
      <c r="H14" s="4" t="n">
        <v>62.0827</v>
      </c>
      <c r="I14" s="4" t="n">
        <v>62</v>
      </c>
      <c r="J14" s="5" t="n">
        <f aca="false">(G14-G$3)/SQRT(H14^2/I14+H$3^2/I$3)</f>
        <v>0.17635236985349</v>
      </c>
      <c r="L14" s="4" t="n">
        <v>41.9677</v>
      </c>
      <c r="M14" s="4" t="n">
        <v>60.5903</v>
      </c>
      <c r="N14" s="4" t="n">
        <v>62</v>
      </c>
      <c r="O14" s="5" t="n">
        <f aca="false">(L14-L$3)/SQRT(M14^2/N14+M$3^2/N$3)</f>
        <v>0.816120263230697</v>
      </c>
      <c r="Q14" s="4" t="n">
        <v>141.129</v>
      </c>
      <c r="R14" s="4" t="n">
        <v>190.3034</v>
      </c>
      <c r="S14" s="4" t="n">
        <v>62</v>
      </c>
      <c r="T14" s="5" t="n">
        <f aca="false">(Q14-Q$3)/SQRT(R14^2/S14+R$3^2/S$3)</f>
        <v>-0.666754777178448</v>
      </c>
      <c r="V14" s="4" t="n">
        <v>64.1613</v>
      </c>
      <c r="W14" s="4" t="n">
        <v>94.1704</v>
      </c>
      <c r="X14" s="4" t="n">
        <v>62</v>
      </c>
      <c r="Y14" s="5" t="n">
        <f aca="false">(V14-V$3)/SQRT(W14^2/X14+W$3^2/X$3)</f>
        <v>0.350437356348712</v>
      </c>
      <c r="AA14" s="4" t="n">
        <f aca="false">V14+Q14+L14+G14+B14</f>
        <v>1439.9999</v>
      </c>
    </row>
    <row r="15" customFormat="false" ht="12.75" hidden="false" customHeight="false" outlineLevel="0" collapsed="false">
      <c r="A15" s="4" t="n">
        <v>11</v>
      </c>
      <c r="B15" s="4" t="n">
        <v>1186.8478</v>
      </c>
      <c r="C15" s="4" t="n">
        <v>175.954</v>
      </c>
      <c r="D15" s="4" t="n">
        <v>46</v>
      </c>
      <c r="E15" s="5" t="n">
        <f aca="false">(B15-B$3)/SQRT(C15^2/D15+C$3^2/D$3)</f>
        <v>0.286918151467494</v>
      </c>
      <c r="G15" s="4" t="n">
        <v>23.7609</v>
      </c>
      <c r="H15" s="4" t="n">
        <v>97.3468</v>
      </c>
      <c r="I15" s="4" t="n">
        <v>46</v>
      </c>
      <c r="J15" s="5" t="n">
        <f aca="false">(G15-G$3)/SQRT(H15^2/I15+H$3^2/I$3)</f>
        <v>1.10566656516715</v>
      </c>
      <c r="L15" s="4" t="n">
        <v>53.2609</v>
      </c>
      <c r="M15" s="4" t="n">
        <v>99.7854</v>
      </c>
      <c r="N15" s="4" t="n">
        <v>46</v>
      </c>
      <c r="O15" s="5" t="n">
        <f aca="false">(L15-L$3)/SQRT(M15^2/N15+M$3^2/N$3)</f>
        <v>1.19758321355399</v>
      </c>
      <c r="Q15" s="4" t="n">
        <v>98.9783</v>
      </c>
      <c r="R15" s="4" t="n">
        <v>124.7973</v>
      </c>
      <c r="S15" s="4" t="n">
        <v>46</v>
      </c>
      <c r="T15" s="5" t="n">
        <f aca="false">(Q15-Q$3)/SQRT(R15^2/S15+R$3^2/S$3)</f>
        <v>-3.05695769753514</v>
      </c>
      <c r="V15" s="4" t="n">
        <v>77.1522</v>
      </c>
      <c r="W15" s="4" t="n">
        <v>83.8721</v>
      </c>
      <c r="X15" s="4" t="n">
        <v>46</v>
      </c>
      <c r="Y15" s="5" t="n">
        <f aca="false">(V15-V$3)/SQRT(W15^2/X15+W$3^2/X$3)</f>
        <v>1.37546886467128</v>
      </c>
      <c r="AA15" s="4" t="n">
        <f aca="false">V15+Q15+L15+G15+B15</f>
        <v>1440.0001</v>
      </c>
    </row>
    <row r="16" customFormat="false" ht="12.75" hidden="false" customHeight="false" outlineLevel="0" collapsed="false">
      <c r="A16" s="4" t="n">
        <v>12</v>
      </c>
      <c r="B16" s="4" t="n">
        <v>1146.875</v>
      </c>
      <c r="C16" s="4" t="n">
        <v>227.3419</v>
      </c>
      <c r="D16" s="4" t="n">
        <v>64</v>
      </c>
      <c r="E16" s="5" t="n">
        <f aca="false">(B16-B$3)/SQRT(C16^2/D16+C$3^2/D$3)</f>
        <v>-1.11114159608558</v>
      </c>
      <c r="G16" s="4" t="n">
        <v>26.25</v>
      </c>
      <c r="H16" s="4" t="n">
        <v>124.0136</v>
      </c>
      <c r="I16" s="4" t="n">
        <v>64</v>
      </c>
      <c r="J16" s="5" t="n">
        <f aca="false">(G16-G$3)/SQRT(H16^2/I16+H$3^2/I$3)</f>
        <v>1.18436575015525</v>
      </c>
      <c r="L16" s="4" t="n">
        <v>35.6875</v>
      </c>
      <c r="M16" s="4" t="n">
        <v>65.4328</v>
      </c>
      <c r="N16" s="4" t="n">
        <v>64</v>
      </c>
      <c r="O16" s="5" t="n">
        <f aca="false">(L16-L$3)/SQRT(M16^2/N16+M$3^2/N$3)</f>
        <v>0.0245890926600147</v>
      </c>
      <c r="Q16" s="4" t="n">
        <v>162.7344</v>
      </c>
      <c r="R16" s="4" t="n">
        <v>188.1158</v>
      </c>
      <c r="S16" s="4" t="n">
        <v>64</v>
      </c>
      <c r="T16" s="5" t="n">
        <f aca="false">(Q16-Q$3)/SQRT(R16^2/S16+R$3^2/S$3)</f>
        <v>0.210659427985604</v>
      </c>
      <c r="V16" s="4" t="n">
        <v>68.4531</v>
      </c>
      <c r="W16" s="4" t="n">
        <v>89.8855</v>
      </c>
      <c r="X16" s="4" t="n">
        <v>64</v>
      </c>
      <c r="Y16" s="5" t="n">
        <f aca="false">(V16-V$3)/SQRT(W16^2/X16+W$3^2/X$3)</f>
        <v>0.748024372602942</v>
      </c>
      <c r="AA16" s="4" t="n">
        <f aca="false">V16+Q16+L16+G16+B16</f>
        <v>1440</v>
      </c>
    </row>
    <row r="17" customFormat="false" ht="12.75" hidden="false" customHeight="false" outlineLevel="0" collapsed="false">
      <c r="A17" s="4" t="n">
        <v>13</v>
      </c>
      <c r="B17" s="4" t="n">
        <v>1165.087</v>
      </c>
      <c r="C17" s="4" t="n">
        <v>188.2184</v>
      </c>
      <c r="D17" s="4" t="n">
        <v>23</v>
      </c>
      <c r="E17" s="5" t="n">
        <f aca="false">(B17-B$3)/SQRT(C17^2/D17+C$3^2/D$3)</f>
        <v>-0.35505434482461</v>
      </c>
      <c r="G17" s="4" t="n">
        <v>0</v>
      </c>
      <c r="H17" s="4" t="n">
        <v>0</v>
      </c>
      <c r="I17" s="4" t="n">
        <v>23</v>
      </c>
      <c r="J17" s="5" t="n">
        <f aca="false">(G17-G$3)/SQRT(H17^2/I17+H$3^2/I$3)</f>
        <v>-4.32296255436256</v>
      </c>
      <c r="L17" s="4" t="n">
        <v>22.1304</v>
      </c>
      <c r="M17" s="4" t="n">
        <v>41.3283</v>
      </c>
      <c r="N17" s="4" t="n">
        <v>23</v>
      </c>
      <c r="O17" s="5" t="n">
        <f aca="false">(L17-L$3)/SQRT(M17^2/N17+M$3^2/N$3)</f>
        <v>-1.50934535796329</v>
      </c>
      <c r="Q17" s="4" t="n">
        <v>202.087</v>
      </c>
      <c r="R17" s="4" t="n">
        <v>186.3369</v>
      </c>
      <c r="S17" s="4" t="n">
        <v>23</v>
      </c>
      <c r="T17" s="5" t="n">
        <f aca="false">(Q17-Q$3)/SQRT(R17^2/S17+R$3^2/S$3)</f>
        <v>1.13259707843263</v>
      </c>
      <c r="V17" s="4" t="n">
        <v>50.6957</v>
      </c>
      <c r="W17" s="4" t="n">
        <v>30.5055</v>
      </c>
      <c r="X17" s="4" t="n">
        <v>23</v>
      </c>
      <c r="Y17" s="5" t="n">
        <f aca="false">(V17-V$3)/SQRT(W17^2/X17+W$3^2/X$3)</f>
        <v>-1.3779335302566</v>
      </c>
      <c r="AA17" s="4" t="n">
        <f aca="false">V17+Q17+L17+G17+B17</f>
        <v>1440.0001</v>
      </c>
    </row>
    <row r="18" customFormat="false" ht="12.75" hidden="false" customHeight="false" outlineLevel="0" collapsed="false">
      <c r="A18" s="4" t="n">
        <v>14</v>
      </c>
      <c r="B18" s="4" t="n">
        <v>1169.2813</v>
      </c>
      <c r="C18" s="4" t="n">
        <v>184.3654</v>
      </c>
      <c r="D18" s="4" t="n">
        <v>32</v>
      </c>
      <c r="E18" s="5" t="n">
        <f aca="false">(B18-B$3)/SQRT(C18^2/D18+C$3^2/D$3)</f>
        <v>-0.298802208178003</v>
      </c>
      <c r="G18" s="4" t="n">
        <v>1.25</v>
      </c>
      <c r="H18" s="4" t="n">
        <v>7.0711</v>
      </c>
      <c r="I18" s="4" t="n">
        <v>32</v>
      </c>
      <c r="J18" s="5" t="n">
        <f aca="false">(G18-G$3)/SQRT(H18^2/I18+H$3^2/I$3)</f>
        <v>-2.97758949043666</v>
      </c>
      <c r="L18" s="4" t="n">
        <v>41.5625</v>
      </c>
      <c r="M18" s="4" t="n">
        <v>62.4613</v>
      </c>
      <c r="N18" s="4" t="n">
        <v>32</v>
      </c>
      <c r="O18" s="5" t="n">
        <f aca="false">(L18-L$3)/SQRT(M18^2/N18+M$3^2/N$3)</f>
        <v>0.542063410247744</v>
      </c>
      <c r="Q18" s="4" t="n">
        <v>159</v>
      </c>
      <c r="R18" s="4" t="n">
        <v>146.7794</v>
      </c>
      <c r="S18" s="4" t="n">
        <v>32</v>
      </c>
      <c r="T18" s="5" t="n">
        <f aca="false">(Q18-Q$3)/SQRT(R18^2/S18+R$3^2/S$3)</f>
        <v>0.0509450138479047</v>
      </c>
      <c r="V18" s="4" t="n">
        <v>68.9063</v>
      </c>
      <c r="W18" s="4" t="n">
        <v>56.2187</v>
      </c>
      <c r="X18" s="4" t="n">
        <v>32</v>
      </c>
      <c r="Y18" s="5" t="n">
        <f aca="false">(V18-V$3)/SQRT(W18^2/X18+W$3^2/X$3)</f>
        <v>0.886542209660216</v>
      </c>
      <c r="AA18" s="4" t="n">
        <f aca="false">V18+Q18+L18+G18+B18</f>
        <v>1440.0001</v>
      </c>
    </row>
    <row r="19" customFormat="false" ht="12.75" hidden="false" customHeight="false" outlineLevel="0" collapsed="false">
      <c r="A19" s="4" t="n">
        <v>15</v>
      </c>
      <c r="B19" s="4" t="n">
        <v>1239.5238</v>
      </c>
      <c r="C19" s="4" t="n">
        <v>194.9078</v>
      </c>
      <c r="D19" s="4" t="n">
        <v>21</v>
      </c>
      <c r="E19" s="5" t="n">
        <f aca="false">(B19-B$3)/SQRT(C19^2/D19+C$3^2/D$3)</f>
        <v>1.4035863926973</v>
      </c>
      <c r="G19" s="4" t="n">
        <v>13.1905</v>
      </c>
      <c r="H19" s="4" t="n">
        <v>60.4464</v>
      </c>
      <c r="I19" s="4" t="n">
        <v>21</v>
      </c>
      <c r="J19" s="5" t="n">
        <f aca="false">(G19-G$3)/SQRT(H19^2/I19+H$3^2/I$3)</f>
        <v>0.407375140807538</v>
      </c>
      <c r="L19" s="4" t="n">
        <v>35.2381</v>
      </c>
      <c r="M19" s="4" t="n">
        <v>52.1871</v>
      </c>
      <c r="N19" s="4" t="n">
        <v>21</v>
      </c>
      <c r="O19" s="5" t="n">
        <f aca="false">(L19-L$3)/SQRT(M19^2/N19+M$3^2/N$3)</f>
        <v>-0.0209666786275323</v>
      </c>
      <c r="Q19" s="4" t="n">
        <v>106.7143</v>
      </c>
      <c r="R19" s="4" t="n">
        <v>182.5991</v>
      </c>
      <c r="S19" s="4" t="n">
        <v>21</v>
      </c>
      <c r="T19" s="5" t="n">
        <f aca="false">(Q19-Q$3)/SQRT(R19^2/S19+R$3^2/S$3)</f>
        <v>-1.26645881078716</v>
      </c>
      <c r="V19" s="4" t="n">
        <v>45.3333</v>
      </c>
      <c r="W19" s="4" t="n">
        <v>40.976</v>
      </c>
      <c r="X19" s="4" t="n">
        <v>21</v>
      </c>
      <c r="Y19" s="5" t="n">
        <f aca="false">(V19-V$3)/SQRT(W19^2/X19+W$3^2/X$3)</f>
        <v>-1.58843571145158</v>
      </c>
      <c r="AA19" s="4" t="n">
        <f aca="false">V19+Q19+L19+G19+B19</f>
        <v>1440</v>
      </c>
    </row>
    <row r="20" customFormat="false" ht="12.75" hidden="false" customHeight="false" outlineLevel="0" collapsed="false">
      <c r="A20" s="4" t="n">
        <v>16</v>
      </c>
      <c r="B20" s="4" t="n">
        <v>1183.7826</v>
      </c>
      <c r="C20" s="4" t="n">
        <v>195.6939</v>
      </c>
      <c r="D20" s="4" t="n">
        <v>23</v>
      </c>
      <c r="E20" s="5" t="n">
        <f aca="false">(B20-B$3)/SQRT(C20^2/D20+C$3^2/D$3)</f>
        <v>0.111162767327302</v>
      </c>
      <c r="G20" s="4" t="n">
        <v>6.3043</v>
      </c>
      <c r="H20" s="4" t="n">
        <v>30.2346</v>
      </c>
      <c r="I20" s="4" t="n">
        <v>23</v>
      </c>
      <c r="J20" s="5" t="n">
        <f aca="false">(G20-G$3)/SQRT(H20^2/I20+H$3^2/I$3)</f>
        <v>-0.223190129081811</v>
      </c>
      <c r="L20" s="4" t="n">
        <v>36.1304</v>
      </c>
      <c r="M20" s="4" t="n">
        <v>49.9584</v>
      </c>
      <c r="N20" s="4" t="n">
        <v>23</v>
      </c>
      <c r="O20" s="5" t="n">
        <f aca="false">(L20-L$3)/SQRT(M20^2/N20+M$3^2/N$3)</f>
        <v>0.0612769508023768</v>
      </c>
      <c r="Q20" s="4" t="n">
        <v>153.5652</v>
      </c>
      <c r="R20" s="4" t="n">
        <v>188.7945</v>
      </c>
      <c r="S20" s="4" t="n">
        <v>23</v>
      </c>
      <c r="T20" s="5" t="n">
        <f aca="false">(Q20-Q$3)/SQRT(R20^2/S20+R$3^2/S$3)</f>
        <v>-0.102760648210613</v>
      </c>
      <c r="V20" s="4" t="n">
        <v>60.2174</v>
      </c>
      <c r="W20" s="4" t="n">
        <v>67.105</v>
      </c>
      <c r="X20" s="4" t="n">
        <v>23</v>
      </c>
      <c r="Y20" s="5" t="n">
        <f aca="false">(V20-V$3)/SQRT(W20^2/X20+W$3^2/X$3)</f>
        <v>0.0218410067494623</v>
      </c>
      <c r="AA20" s="4" t="n">
        <f aca="false">V20+Q20+L20+G20+B20</f>
        <v>1439.9999</v>
      </c>
    </row>
    <row r="21" customFormat="false" ht="12.75" hidden="false" customHeight="false" outlineLevel="0" collapsed="false">
      <c r="A21" s="4" t="n">
        <v>17</v>
      </c>
      <c r="B21" s="4" t="n">
        <v>1171.4355</v>
      </c>
      <c r="C21" s="4" t="n">
        <v>184.5527</v>
      </c>
      <c r="D21" s="4" t="n">
        <v>124</v>
      </c>
      <c r="E21" s="5" t="n">
        <f aca="false">(B21-B$3)/SQRT(C21^2/D21+C$3^2/D$3)</f>
        <v>-0.43846213111434</v>
      </c>
      <c r="G21" s="4" t="n">
        <v>2.9839</v>
      </c>
      <c r="H21" s="4" t="n">
        <v>28.3124</v>
      </c>
      <c r="I21" s="4" t="n">
        <v>124</v>
      </c>
      <c r="J21" s="5" t="n">
        <f aca="false">(G21-G$3)/SQRT(H21^2/I21+H$3^2/I$3)</f>
        <v>-1.53645491678445</v>
      </c>
      <c r="L21" s="4" t="n">
        <v>40.7419</v>
      </c>
      <c r="M21" s="4" t="n">
        <v>73.6459</v>
      </c>
      <c r="N21" s="4" t="n">
        <v>124</v>
      </c>
      <c r="O21" s="5" t="n">
        <f aca="false">(L21-L$3)/SQRT(M21^2/N21+M$3^2/N$3)</f>
        <v>0.761715110523952</v>
      </c>
      <c r="Q21" s="4" t="n">
        <v>160.0726</v>
      </c>
      <c r="R21" s="4" t="n">
        <v>147.6815</v>
      </c>
      <c r="S21" s="4" t="n">
        <v>124</v>
      </c>
      <c r="T21" s="5" t="n">
        <f aca="false">(Q21-Q$3)/SQRT(R21^2/S21+R$3^2/S$3)</f>
        <v>0.168982678382705</v>
      </c>
      <c r="V21" s="4" t="n">
        <v>64.7661</v>
      </c>
      <c r="W21" s="4" t="n">
        <v>63.2683</v>
      </c>
      <c r="X21" s="4" t="n">
        <v>124</v>
      </c>
      <c r="Y21" s="5" t="n">
        <f aca="false">(V21-V$3)/SQRT(W21^2/X21+W$3^2/X$3)</f>
        <v>0.803782345443344</v>
      </c>
      <c r="AA21" s="4" t="n">
        <f aca="false">V21+Q21+L21+G21+B21</f>
        <v>1440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V3"/>
    </sheetView>
  </sheetViews>
  <sheetFormatPr defaultColWidth="11.421875" defaultRowHeight="12.75" customHeight="false" zeroHeight="false" outlineLevelRow="0" outlineLevelCol="0"/>
  <sheetData>
    <row r="1" customFormat="false" ht="12.75" hidden="false" customHeight="false" outlineLevel="0" collapsed="false">
      <c r="B1" s="0" t="s">
        <v>14</v>
      </c>
      <c r="E1" s="4"/>
      <c r="G1" s="0" t="s">
        <v>41</v>
      </c>
      <c r="J1" s="4"/>
      <c r="L1" s="0" t="s">
        <v>38</v>
      </c>
      <c r="O1" s="4"/>
      <c r="Q1" s="0" t="s">
        <v>42</v>
      </c>
      <c r="T1" s="4"/>
      <c r="V1" s="0" t="s">
        <v>43</v>
      </c>
      <c r="Y1" s="4"/>
      <c r="AA1" s="4" t="s">
        <v>44</v>
      </c>
    </row>
    <row r="2" customFormat="false" ht="12.75" hidden="false" customHeight="false" outlineLevel="0" collapsed="false">
      <c r="B2" s="0" t="s">
        <v>5</v>
      </c>
      <c r="C2" s="0" t="s">
        <v>6</v>
      </c>
      <c r="D2" s="0" t="s">
        <v>7</v>
      </c>
      <c r="E2" s="5" t="s">
        <v>45</v>
      </c>
      <c r="G2" s="0" t="s">
        <v>5</v>
      </c>
      <c r="H2" s="0" t="s">
        <v>6</v>
      </c>
      <c r="I2" s="0" t="s">
        <v>7</v>
      </c>
      <c r="J2" s="5" t="s">
        <v>45</v>
      </c>
      <c r="L2" s="0" t="s">
        <v>5</v>
      </c>
      <c r="M2" s="0" t="s">
        <v>6</v>
      </c>
      <c r="N2" s="0" t="s">
        <v>7</v>
      </c>
      <c r="O2" s="5" t="s">
        <v>45</v>
      </c>
      <c r="Q2" s="0" t="s">
        <v>5</v>
      </c>
      <c r="R2" s="0" t="s">
        <v>6</v>
      </c>
      <c r="S2" s="0" t="s">
        <v>7</v>
      </c>
      <c r="T2" s="5" t="s">
        <v>45</v>
      </c>
      <c r="V2" s="0" t="s">
        <v>5</v>
      </c>
      <c r="W2" s="0" t="s">
        <v>6</v>
      </c>
      <c r="X2" s="0" t="s">
        <v>7</v>
      </c>
      <c r="Y2" s="5" t="s">
        <v>45</v>
      </c>
      <c r="AA2" s="4"/>
    </row>
    <row r="3" customFormat="false" ht="12.75" hidden="false" customHeight="false" outlineLevel="0" collapsed="false">
      <c r="A3" s="4" t="s">
        <v>15</v>
      </c>
      <c r="B3" s="4" t="n">
        <v>963.8222</v>
      </c>
      <c r="C3" s="4" t="n">
        <v>239.7678</v>
      </c>
      <c r="D3" s="0" t="n">
        <v>3021</v>
      </c>
      <c r="E3" s="5"/>
      <c r="G3" s="4" t="n">
        <v>290.3191</v>
      </c>
      <c r="H3" s="4" t="n">
        <v>255.9488</v>
      </c>
      <c r="I3" s="0" t="n">
        <v>3021</v>
      </c>
      <c r="J3" s="5"/>
      <c r="L3" s="4" t="n">
        <v>25.5836</v>
      </c>
      <c r="M3" s="4" t="n">
        <v>64.2385</v>
      </c>
      <c r="N3" s="0" t="n">
        <v>3021</v>
      </c>
      <c r="O3" s="5"/>
      <c r="Q3" s="4" t="n">
        <v>97.9341</v>
      </c>
      <c r="R3" s="4" t="n">
        <v>146.5176</v>
      </c>
      <c r="S3" s="0" t="n">
        <v>3021</v>
      </c>
      <c r="T3" s="5"/>
      <c r="V3" s="4" t="n">
        <v>62.3409</v>
      </c>
      <c r="W3" s="4" t="n">
        <v>56.0784</v>
      </c>
      <c r="X3" s="0" t="n">
        <v>3021</v>
      </c>
      <c r="Y3" s="5"/>
      <c r="AA3" s="4" t="n">
        <f aca="false">V3+Q3+L3+G3+B3</f>
        <v>1439.9999</v>
      </c>
    </row>
    <row r="4" customFormat="false" ht="12.75" hidden="false" customHeight="false" outlineLevel="0" collapsed="false">
      <c r="A4" s="4" t="s">
        <v>16</v>
      </c>
      <c r="B4" s="4"/>
      <c r="C4" s="4"/>
      <c r="E4" s="5"/>
      <c r="G4" s="4"/>
      <c r="H4" s="4"/>
      <c r="J4" s="5"/>
      <c r="L4" s="4"/>
      <c r="M4" s="4"/>
      <c r="O4" s="5"/>
      <c r="Q4" s="4"/>
      <c r="R4" s="4"/>
      <c r="T4" s="5"/>
      <c r="V4" s="4"/>
      <c r="W4" s="4"/>
      <c r="Y4" s="5"/>
      <c r="AA4" s="4"/>
    </row>
    <row r="5" customFormat="false" ht="12.75" hidden="false" customHeight="false" outlineLevel="0" collapsed="false">
      <c r="A5" s="0" t="n">
        <v>1</v>
      </c>
      <c r="B5" s="4" t="n">
        <v>959.3478</v>
      </c>
      <c r="C5" s="4" t="n">
        <v>254.9201</v>
      </c>
      <c r="D5" s="0" t="n">
        <v>23</v>
      </c>
      <c r="E5" s="5" t="n">
        <f aca="false">(B5-B$3)/SQRT(C5^2/D5+C$3^2/D$3)</f>
        <v>-0.0838951812598529</v>
      </c>
      <c r="G5" s="4" t="n">
        <v>285.3913</v>
      </c>
      <c r="H5" s="4" t="n">
        <v>246.3268</v>
      </c>
      <c r="I5" s="0" t="n">
        <v>23</v>
      </c>
      <c r="J5" s="5" t="n">
        <f aca="false">(G5-G$3)/SQRT(H5^2/I5+H$3^2/I$3)</f>
        <v>-0.0955493463348539</v>
      </c>
      <c r="L5" s="4" t="n">
        <v>16.6522</v>
      </c>
      <c r="M5" s="4" t="n">
        <v>49.0089</v>
      </c>
      <c r="N5" s="0" t="n">
        <v>23</v>
      </c>
      <c r="O5" s="5" t="n">
        <f aca="false">(L5-L$3)/SQRT(M5^2/N5+M$3^2/N$3)</f>
        <v>-0.868333519778603</v>
      </c>
      <c r="Q5" s="4" t="n">
        <v>106.3043</v>
      </c>
      <c r="R5" s="4" t="n">
        <v>146.8396</v>
      </c>
      <c r="S5" s="0" t="n">
        <v>23</v>
      </c>
      <c r="T5" s="5" t="n">
        <f aca="false">(Q5-Q$3)/SQRT(R5^2/S5+R$3^2/S$3)</f>
        <v>0.272343357441966</v>
      </c>
      <c r="V5" s="4" t="n">
        <v>72.3043</v>
      </c>
      <c r="W5" s="4" t="n">
        <v>66.7236</v>
      </c>
      <c r="X5" s="0" t="n">
        <v>23</v>
      </c>
      <c r="Y5" s="5" t="n">
        <f aca="false">(V5-V$3)/SQRT(W5^2/X5+W$3^2/X$3)</f>
        <v>0.714212350243189</v>
      </c>
      <c r="AA5" s="4" t="n">
        <f aca="false">V5+Q5+L5+G5+B5</f>
        <v>1439.9999</v>
      </c>
    </row>
    <row r="6" customFormat="false" ht="12.75" hidden="false" customHeight="false" outlineLevel="0" collapsed="false">
      <c r="A6" s="0" t="n">
        <v>2</v>
      </c>
      <c r="B6" s="4" t="n">
        <v>1021.7802</v>
      </c>
      <c r="C6" s="4" t="n">
        <v>204.7022</v>
      </c>
      <c r="D6" s="0" t="n">
        <v>91</v>
      </c>
      <c r="E6" s="5" t="n">
        <f aca="false">(B6-B$3)/SQRT(C6^2/D6+C$3^2/D$3)</f>
        <v>2.64678180977551</v>
      </c>
      <c r="G6" s="4" t="n">
        <v>275.1429</v>
      </c>
      <c r="H6" s="4" t="n">
        <v>250.0359</v>
      </c>
      <c r="I6" s="0" t="n">
        <v>91</v>
      </c>
      <c r="J6" s="5" t="n">
        <f aca="false">(G6-G$3)/SQRT(H6^2/I6+H$3^2/I$3)</f>
        <v>-0.570076683468499</v>
      </c>
      <c r="L6" s="4" t="n">
        <v>24.0549</v>
      </c>
      <c r="M6" s="4" t="n">
        <v>54.6649</v>
      </c>
      <c r="N6" s="0" t="n">
        <v>91</v>
      </c>
      <c r="O6" s="5" t="n">
        <f aca="false">(L6-L$3)/SQRT(M6^2/N6+M$3^2/N$3)</f>
        <v>-0.26138730869321</v>
      </c>
      <c r="Q6" s="4" t="n">
        <v>61.956</v>
      </c>
      <c r="R6" s="4" t="n">
        <v>121.6573</v>
      </c>
      <c r="S6" s="0" t="n">
        <v>91</v>
      </c>
      <c r="T6" s="5" t="n">
        <f aca="false">(Q6-Q$3)/SQRT(R6^2/S6+R$3^2/S$3)</f>
        <v>-2.76143444296198</v>
      </c>
      <c r="V6" s="4" t="n">
        <v>57.0659</v>
      </c>
      <c r="W6" s="4" t="n">
        <v>46.035</v>
      </c>
      <c r="X6" s="0" t="n">
        <v>91</v>
      </c>
      <c r="Y6" s="5" t="n">
        <f aca="false">(V6-V$3)/SQRT(W6^2/X6+W$3^2/X$3)</f>
        <v>-1.0694469751133</v>
      </c>
      <c r="AA6" s="4" t="n">
        <f aca="false">V6+Q6+L6+G6+B6</f>
        <v>1439.9999</v>
      </c>
    </row>
    <row r="7" customFormat="false" ht="12.75" hidden="false" customHeight="false" outlineLevel="0" collapsed="false">
      <c r="A7" s="0" t="n">
        <v>3</v>
      </c>
      <c r="B7" s="4" t="n">
        <v>948.0769</v>
      </c>
      <c r="C7" s="4" t="n">
        <v>241.3044</v>
      </c>
      <c r="D7" s="0" t="n">
        <v>104</v>
      </c>
      <c r="E7" s="5" t="n">
        <f aca="false">(B7-B$3)/SQRT(C7^2/D7+C$3^2/D$3)</f>
        <v>-0.654401797748263</v>
      </c>
      <c r="G7" s="4" t="n">
        <v>304.7115</v>
      </c>
      <c r="H7" s="4" t="n">
        <v>261.4456</v>
      </c>
      <c r="I7" s="0" t="n">
        <v>104</v>
      </c>
      <c r="J7" s="5" t="n">
        <f aca="false">(G7-G$3)/SQRT(H7^2/I7+H$3^2/I$3)</f>
        <v>0.552356914047005</v>
      </c>
      <c r="L7" s="4" t="n">
        <v>16.25</v>
      </c>
      <c r="M7" s="4" t="n">
        <v>41.4939</v>
      </c>
      <c r="N7" s="0" t="n">
        <v>104</v>
      </c>
      <c r="O7" s="5" t="n">
        <f aca="false">(L7-L$3)/SQRT(M7^2/N7+M$3^2/N$3)</f>
        <v>-2.20478225537723</v>
      </c>
      <c r="Q7" s="4" t="n">
        <v>116.4135</v>
      </c>
      <c r="R7" s="4" t="n">
        <v>175.4675</v>
      </c>
      <c r="S7" s="0" t="n">
        <v>104</v>
      </c>
      <c r="T7" s="5" t="n">
        <f aca="false">(Q7-Q$3)/SQRT(R7^2/S7+R$3^2/S$3)</f>
        <v>1.06134650510759</v>
      </c>
      <c r="V7" s="4" t="n">
        <v>54.5481</v>
      </c>
      <c r="W7" s="4" t="n">
        <v>46.6478</v>
      </c>
      <c r="X7" s="0" t="n">
        <v>104</v>
      </c>
      <c r="Y7" s="5" t="n">
        <f aca="false">(V7-V$3)/SQRT(W7^2/X7+W$3^2/X$3)</f>
        <v>-1.66278330488118</v>
      </c>
      <c r="AA7" s="4" t="n">
        <f aca="false">V7+Q7+L7+G7+B7</f>
        <v>1440</v>
      </c>
    </row>
    <row r="8" customFormat="false" ht="12.75" hidden="false" customHeight="false" outlineLevel="0" collapsed="false">
      <c r="A8" s="0" t="n">
        <v>4</v>
      </c>
      <c r="B8" s="4" t="n">
        <v>964.9821</v>
      </c>
      <c r="C8" s="4" t="n">
        <v>243.097</v>
      </c>
      <c r="D8" s="0" t="n">
        <v>223</v>
      </c>
      <c r="E8" s="5" t="n">
        <f aca="false">(B8-B$3)/SQRT(C8^2/D8+C$3^2/D$3)</f>
        <v>0.06882318314344</v>
      </c>
      <c r="G8" s="4" t="n">
        <v>306.6009</v>
      </c>
      <c r="H8" s="4" t="n">
        <v>256.875</v>
      </c>
      <c r="I8" s="0" t="n">
        <v>223</v>
      </c>
      <c r="J8" s="5" t="n">
        <f aca="false">(G8-G$3)/SQRT(H8^2/I8+H$3^2/I$3)</f>
        <v>0.913640672445136</v>
      </c>
      <c r="L8" s="4" t="n">
        <v>24.1031</v>
      </c>
      <c r="M8" s="4" t="n">
        <v>83.7744</v>
      </c>
      <c r="N8" s="0" t="n">
        <v>223</v>
      </c>
      <c r="O8" s="5" t="n">
        <f aca="false">(L8-L$3)/SQRT(M8^2/N8+M$3^2/N$3)</f>
        <v>-0.258358898477868</v>
      </c>
      <c r="Q8" s="4" t="n">
        <v>87.7534</v>
      </c>
      <c r="R8" s="4" t="n">
        <v>119.8873</v>
      </c>
      <c r="S8" s="0" t="n">
        <v>223</v>
      </c>
      <c r="T8" s="5" t="n">
        <f aca="false">(Q8-Q$3)/SQRT(R8^2/S8+R$3^2/S$3)</f>
        <v>-1.20349991951039</v>
      </c>
      <c r="V8" s="4" t="n">
        <v>56.5605</v>
      </c>
      <c r="W8" s="4" t="n">
        <v>44.5577</v>
      </c>
      <c r="X8" s="0" t="n">
        <v>223</v>
      </c>
      <c r="Y8" s="5" t="n">
        <f aca="false">(V8-V$3)/SQRT(W8^2/X8+W$3^2/X$3)</f>
        <v>-1.83305690648871</v>
      </c>
      <c r="AA8" s="4" t="n">
        <f aca="false">V8+Q8+L8+G8+B8</f>
        <v>1440</v>
      </c>
    </row>
    <row r="9" customFormat="false" ht="12.75" hidden="false" customHeight="false" outlineLevel="0" collapsed="false">
      <c r="A9" s="0" t="n">
        <v>5</v>
      </c>
      <c r="B9" s="4" t="n">
        <v>955.9946</v>
      </c>
      <c r="C9" s="4" t="n">
        <v>247.6139</v>
      </c>
      <c r="D9" s="0" t="n">
        <v>184</v>
      </c>
      <c r="E9" s="5" t="n">
        <f aca="false">(B9-B$3)/SQRT(C9^2/D9+C$3^2/D$3)</f>
        <v>-0.417064079158805</v>
      </c>
      <c r="G9" s="4" t="n">
        <v>314.8696</v>
      </c>
      <c r="H9" s="4" t="n">
        <v>257.9286</v>
      </c>
      <c r="I9" s="0" t="n">
        <v>184</v>
      </c>
      <c r="J9" s="5" t="n">
        <f aca="false">(G9-G$3)/SQRT(H9^2/I9+H$3^2/I$3)</f>
        <v>1.25407013878648</v>
      </c>
      <c r="L9" s="4" t="n">
        <v>22.3804</v>
      </c>
      <c r="M9" s="4" t="n">
        <v>56.2249</v>
      </c>
      <c r="N9" s="0" t="n">
        <v>184</v>
      </c>
      <c r="O9" s="5" t="n">
        <f aca="false">(L9-L$3)/SQRT(M9^2/N9+M$3^2/N$3)</f>
        <v>-0.743792377836607</v>
      </c>
      <c r="Q9" s="4" t="n">
        <v>84.1957</v>
      </c>
      <c r="R9" s="4" t="n">
        <v>125.2108</v>
      </c>
      <c r="S9" s="0" t="n">
        <v>184</v>
      </c>
      <c r="T9" s="5" t="n">
        <f aca="false">(Q9-Q$3)/SQRT(R9^2/S9+R$3^2/S$3)</f>
        <v>-1.42991089639437</v>
      </c>
      <c r="V9" s="4" t="n">
        <v>62.5598</v>
      </c>
      <c r="W9" s="4" t="n">
        <v>46.6505</v>
      </c>
      <c r="X9" s="0" t="n">
        <v>184</v>
      </c>
      <c r="Y9" s="5" t="n">
        <f aca="false">(V9-V$3)/SQRT(W9^2/X9+W$3^2/X$3)</f>
        <v>0.0610212883353684</v>
      </c>
      <c r="AA9" s="4" t="n">
        <f aca="false">V9+Q9+L9+G9+B9</f>
        <v>1440.0001</v>
      </c>
    </row>
    <row r="10" customFormat="false" ht="12.75" hidden="false" customHeight="false" outlineLevel="0" collapsed="false">
      <c r="A10" s="0" t="n">
        <v>6</v>
      </c>
      <c r="B10" s="4" t="n">
        <v>1005.5668</v>
      </c>
      <c r="C10" s="4" t="n">
        <v>248.8487</v>
      </c>
      <c r="D10" s="0" t="n">
        <v>277</v>
      </c>
      <c r="E10" s="5" t="n">
        <f aca="false">(B10-B$3)/SQRT(C10^2/D10+C$3^2/D$3)</f>
        <v>2.68019010171039</v>
      </c>
      <c r="G10" s="4" t="n">
        <v>260.7184</v>
      </c>
      <c r="H10" s="4" t="n">
        <v>258.4254</v>
      </c>
      <c r="I10" s="0" t="n">
        <v>277</v>
      </c>
      <c r="J10" s="5" t="n">
        <f aca="false">(G10-G$3)/SQRT(H10^2/I10+H$3^2/I$3)</f>
        <v>-1.82601726581386</v>
      </c>
      <c r="L10" s="4" t="n">
        <v>24.639</v>
      </c>
      <c r="M10" s="4" t="n">
        <v>50.4595</v>
      </c>
      <c r="N10" s="0" t="n">
        <v>277</v>
      </c>
      <c r="O10" s="5" t="n">
        <f aca="false">(L10-L$3)/SQRT(M10^2/N10+M$3^2/N$3)</f>
        <v>-0.290709683403451</v>
      </c>
      <c r="Q10" s="4" t="n">
        <v>92.639</v>
      </c>
      <c r="R10" s="4" t="n">
        <v>142.2268</v>
      </c>
      <c r="S10" s="0" t="n">
        <v>277</v>
      </c>
      <c r="T10" s="5" t="n">
        <f aca="false">(Q10-Q$3)/SQRT(R10^2/S10+R$3^2/S$3)</f>
        <v>-0.591518678414553</v>
      </c>
      <c r="V10" s="4" t="n">
        <v>56.4368</v>
      </c>
      <c r="W10" s="4" t="n">
        <v>54.3225</v>
      </c>
      <c r="X10" s="0" t="n">
        <v>277</v>
      </c>
      <c r="Y10" s="5" t="n">
        <f aca="false">(V10-V$3)/SQRT(W10^2/X10+W$3^2/X$3)</f>
        <v>-1.72650985548769</v>
      </c>
      <c r="AA10" s="4" t="n">
        <f aca="false">V10+Q10+L10+G10+B10</f>
        <v>1440</v>
      </c>
    </row>
    <row r="11" customFormat="false" ht="12.75" hidden="false" customHeight="false" outlineLevel="0" collapsed="false">
      <c r="A11" s="0" t="n">
        <v>7</v>
      </c>
      <c r="B11" s="4" t="n">
        <v>952.2901</v>
      </c>
      <c r="C11" s="4" t="n">
        <v>236.2983</v>
      </c>
      <c r="D11" s="0" t="n">
        <v>262</v>
      </c>
      <c r="E11" s="5" t="n">
        <f aca="false">(B11-B$3)/SQRT(C11^2/D11+C$3^2/D$3)</f>
        <v>-0.756878817629948</v>
      </c>
      <c r="G11" s="4" t="n">
        <v>270.7023</v>
      </c>
      <c r="H11" s="4" t="n">
        <v>258.9826</v>
      </c>
      <c r="I11" s="0" t="n">
        <v>262</v>
      </c>
      <c r="J11" s="5" t="n">
        <f aca="false">(G11-G$3)/SQRT(H11^2/I11+H$3^2/I$3)</f>
        <v>-1.17720513265985</v>
      </c>
      <c r="L11" s="4" t="n">
        <v>25.4847</v>
      </c>
      <c r="M11" s="4" t="n">
        <v>62.8708</v>
      </c>
      <c r="N11" s="0" t="n">
        <v>262</v>
      </c>
      <c r="O11" s="5" t="n">
        <f aca="false">(L11-L$3)/SQRT(M11^2/N11+M$3^2/N$3)</f>
        <v>-0.0243824325250236</v>
      </c>
      <c r="Q11" s="4" t="n">
        <v>130.458</v>
      </c>
      <c r="R11" s="4" t="n">
        <v>169.2336</v>
      </c>
      <c r="S11" s="0" t="n">
        <v>262</v>
      </c>
      <c r="T11" s="5" t="n">
        <f aca="false">(Q11-Q$3)/SQRT(R11^2/S11+R$3^2/S$3)</f>
        <v>3.01432818787866</v>
      </c>
      <c r="V11" s="4" t="n">
        <v>61.0649</v>
      </c>
      <c r="W11" s="4" t="n">
        <v>49.9872</v>
      </c>
      <c r="X11" s="0" t="n">
        <v>262</v>
      </c>
      <c r="Y11" s="5" t="n">
        <f aca="false">(V11-V$3)/SQRT(W11^2/X11+W$3^2/X$3)</f>
        <v>-0.39232623114766</v>
      </c>
      <c r="AA11" s="4" t="n">
        <f aca="false">V11+Q11+L11+G11+B11</f>
        <v>1440</v>
      </c>
    </row>
    <row r="12" customFormat="false" ht="12.75" hidden="false" customHeight="false" outlineLevel="0" collapsed="false">
      <c r="A12" s="0" t="n">
        <v>8</v>
      </c>
      <c r="B12" s="4" t="n">
        <v>955.1065</v>
      </c>
      <c r="C12" s="4" t="n">
        <v>241.4003</v>
      </c>
      <c r="D12" s="0" t="n">
        <v>310</v>
      </c>
      <c r="E12" s="5" t="n">
        <f aca="false">(B12-B$3)/SQRT(C12^2/D12+C$3^2/D$3)</f>
        <v>-0.605767455367903</v>
      </c>
      <c r="G12" s="4" t="n">
        <v>295.471</v>
      </c>
      <c r="H12" s="4" t="n">
        <v>254.6606</v>
      </c>
      <c r="I12" s="0" t="n">
        <v>310</v>
      </c>
      <c r="J12" s="5" t="n">
        <f aca="false">(G12-G$3)/SQRT(H12^2/I12+H$3^2/I$3)</f>
        <v>0.339054635777061</v>
      </c>
      <c r="L12" s="4" t="n">
        <v>22.5484</v>
      </c>
      <c r="M12" s="4" t="n">
        <v>52.2535</v>
      </c>
      <c r="N12" s="0" t="n">
        <v>310</v>
      </c>
      <c r="O12" s="5" t="n">
        <f aca="false">(L12-L$3)/SQRT(M12^2/N12+M$3^2/N$3)</f>
        <v>-0.951580915557686</v>
      </c>
      <c r="Q12" s="4" t="n">
        <v>103.1806</v>
      </c>
      <c r="R12" s="4" t="n">
        <v>161.8952</v>
      </c>
      <c r="S12" s="0" t="n">
        <v>310</v>
      </c>
      <c r="T12" s="5" t="n">
        <f aca="false">(Q12-Q$3)/SQRT(R12^2/S12+R$3^2/S$3)</f>
        <v>0.548015043033714</v>
      </c>
      <c r="V12" s="4" t="n">
        <v>63.6935</v>
      </c>
      <c r="W12" s="4" t="n">
        <v>62.4856</v>
      </c>
      <c r="X12" s="0" t="n">
        <v>310</v>
      </c>
      <c r="Y12" s="5" t="n">
        <f aca="false">(V12-V$3)/SQRT(W12^2/X12+W$3^2/X$3)</f>
        <v>0.366291015694928</v>
      </c>
      <c r="AA12" s="4" t="n">
        <f aca="false">V12+Q12+L12+G12+B12</f>
        <v>1440</v>
      </c>
    </row>
    <row r="13" customFormat="false" ht="12.75" hidden="false" customHeight="false" outlineLevel="0" collapsed="false">
      <c r="A13" s="0" t="n">
        <v>9</v>
      </c>
      <c r="B13" s="4" t="n">
        <v>952.3141</v>
      </c>
      <c r="C13" s="4" t="n">
        <v>240.3653</v>
      </c>
      <c r="D13" s="0" t="n">
        <v>191</v>
      </c>
      <c r="E13" s="5" t="n">
        <f aca="false">(B13-B$3)/SQRT(C13^2/D13+C$3^2/D$3)</f>
        <v>-0.641800807516402</v>
      </c>
      <c r="G13" s="4" t="n">
        <v>303.5393</v>
      </c>
      <c r="H13" s="4" t="n">
        <v>253.142</v>
      </c>
      <c r="I13" s="0" t="n">
        <v>191</v>
      </c>
      <c r="J13" s="5" t="n">
        <f aca="false">(G13-G$3)/SQRT(H13^2/I13+H$3^2/I$3)</f>
        <v>0.69950424549613</v>
      </c>
      <c r="L13" s="4" t="n">
        <v>31.801</v>
      </c>
      <c r="M13" s="4" t="n">
        <v>74.5829</v>
      </c>
      <c r="N13" s="0" t="n">
        <v>191</v>
      </c>
      <c r="O13" s="5" t="n">
        <f aca="false">(L13-L$3)/SQRT(M13^2/N13+M$3^2/N$3)</f>
        <v>1.12598636799822</v>
      </c>
      <c r="Q13" s="4" t="n">
        <v>90.7382</v>
      </c>
      <c r="R13" s="4" t="n">
        <v>143.1454</v>
      </c>
      <c r="S13" s="0" t="n">
        <v>191</v>
      </c>
      <c r="T13" s="5" t="n">
        <f aca="false">(Q13-Q$3)/SQRT(R13^2/S13+R$3^2/S$3)</f>
        <v>-0.672817565457249</v>
      </c>
      <c r="V13" s="4" t="n">
        <v>61.6073</v>
      </c>
      <c r="W13" s="4" t="n">
        <v>57.3006</v>
      </c>
      <c r="X13" s="0" t="n">
        <v>191</v>
      </c>
      <c r="Y13" s="5" t="n">
        <f aca="false">(V13-V$3)/SQRT(W13^2/X13+W$3^2/X$3)</f>
        <v>-0.171810650127498</v>
      </c>
      <c r="AA13" s="4" t="n">
        <f aca="false">V13+Q13+L13+G13+B13</f>
        <v>1439.9999</v>
      </c>
    </row>
    <row r="14" customFormat="false" ht="12.75" hidden="false" customHeight="false" outlineLevel="0" collapsed="false">
      <c r="A14" s="0" t="n">
        <v>10</v>
      </c>
      <c r="B14" s="4" t="n">
        <v>942.3167</v>
      </c>
      <c r="C14" s="4" t="n">
        <v>243.7126</v>
      </c>
      <c r="D14" s="0" t="n">
        <v>221</v>
      </c>
      <c r="E14" s="5" t="n">
        <f aca="false">(B14-B$3)/SQRT(C14^2/D14+C$3^2/D$3)</f>
        <v>-1.26768803576427</v>
      </c>
      <c r="G14" s="4" t="n">
        <v>296.362</v>
      </c>
      <c r="H14" s="4" t="n">
        <v>261.2431</v>
      </c>
      <c r="I14" s="0" t="n">
        <v>221</v>
      </c>
      <c r="J14" s="5" t="n">
        <f aca="false">(G14-G$3)/SQRT(H14^2/I14+H$3^2/I$3)</f>
        <v>0.332399432905142</v>
      </c>
      <c r="L14" s="4" t="n">
        <v>32.2579</v>
      </c>
      <c r="M14" s="4" t="n">
        <v>76.859</v>
      </c>
      <c r="N14" s="0" t="n">
        <v>221</v>
      </c>
      <c r="O14" s="5" t="n">
        <f aca="false">(L14-L$3)/SQRT(M14^2/N14+M$3^2/N$3)</f>
        <v>1.25917061103203</v>
      </c>
      <c r="Q14" s="4" t="n">
        <v>102.1086</v>
      </c>
      <c r="R14" s="4" t="n">
        <v>159.0446</v>
      </c>
      <c r="S14" s="0" t="n">
        <v>221</v>
      </c>
      <c r="T14" s="5" t="n">
        <f aca="false">(Q14-Q$3)/SQRT(R14^2/S14+R$3^2/S$3)</f>
        <v>0.378618766090991</v>
      </c>
      <c r="V14" s="4" t="n">
        <v>66.9548</v>
      </c>
      <c r="W14" s="4" t="n">
        <v>88.7322</v>
      </c>
      <c r="X14" s="0" t="n">
        <v>221</v>
      </c>
      <c r="Y14" s="5" t="n">
        <f aca="false">(V14-V$3)/SQRT(W14^2/X14+W$3^2/X$3)</f>
        <v>0.761954603931602</v>
      </c>
      <c r="AA14" s="4" t="n">
        <f aca="false">V14+Q14+L14+G14+B14</f>
        <v>1440</v>
      </c>
    </row>
    <row r="15" customFormat="false" ht="12.75" hidden="false" customHeight="false" outlineLevel="0" collapsed="false">
      <c r="A15" s="0" t="n">
        <v>11</v>
      </c>
      <c r="B15" s="4" t="n">
        <v>974.4683</v>
      </c>
      <c r="C15" s="4" t="n">
        <v>225.63</v>
      </c>
      <c r="D15" s="0" t="n">
        <v>205</v>
      </c>
      <c r="E15" s="5" t="n">
        <f aca="false">(B15-B$3)/SQRT(C15^2/D15+C$3^2/D$3)</f>
        <v>0.651084958621377</v>
      </c>
      <c r="G15" s="4" t="n">
        <v>287.6293</v>
      </c>
      <c r="H15" s="4" t="n">
        <v>249.9052</v>
      </c>
      <c r="I15" s="0" t="n">
        <v>205</v>
      </c>
      <c r="J15" s="5" t="n">
        <f aca="false">(G15-G$3)/SQRT(H15^2/I15+H$3^2/I$3)</f>
        <v>-0.148898517524496</v>
      </c>
      <c r="L15" s="4" t="n">
        <v>36.9756</v>
      </c>
      <c r="M15" s="4" t="n">
        <v>98.8868</v>
      </c>
      <c r="N15" s="0" t="n">
        <v>205</v>
      </c>
      <c r="O15" s="5" t="n">
        <f aca="false">(L15-L$3)/SQRT(M15^2/N15+M$3^2/N$3)</f>
        <v>1.62632618801767</v>
      </c>
      <c r="Q15" s="4" t="n">
        <v>81.1561</v>
      </c>
      <c r="R15" s="4" t="n">
        <v>126.4147</v>
      </c>
      <c r="S15" s="0" t="n">
        <v>205</v>
      </c>
      <c r="T15" s="5" t="n">
        <f aca="false">(Q15-Q$3)/SQRT(R15^2/S15+R$3^2/S$3)</f>
        <v>-1.81918146765562</v>
      </c>
      <c r="V15" s="4" t="n">
        <v>59.7707</v>
      </c>
      <c r="W15" s="4" t="n">
        <v>42.9431</v>
      </c>
      <c r="X15" s="0" t="n">
        <v>205</v>
      </c>
      <c r="Y15" s="5" t="n">
        <f aca="false">(V15-V$3)/SQRT(W15^2/X15+W$3^2/X$3)</f>
        <v>-0.811283964984762</v>
      </c>
      <c r="AA15" s="4" t="n">
        <f aca="false">V15+Q15+L15+G15+B15</f>
        <v>1440</v>
      </c>
    </row>
    <row r="16" customFormat="false" ht="12.75" hidden="false" customHeight="false" outlineLevel="0" collapsed="false">
      <c r="A16" s="0" t="n">
        <v>12</v>
      </c>
      <c r="B16" s="4" t="n">
        <v>946.4257</v>
      </c>
      <c r="C16" s="4" t="n">
        <v>244.0532</v>
      </c>
      <c r="D16" s="0" t="n">
        <v>202</v>
      </c>
      <c r="E16" s="5" t="n">
        <f aca="false">(B16-B$3)/SQRT(C16^2/D16+C$3^2/D$3)</f>
        <v>-0.981911939024226</v>
      </c>
      <c r="G16" s="4" t="n">
        <v>294.6733</v>
      </c>
      <c r="H16" s="4" t="n">
        <v>251.5816</v>
      </c>
      <c r="I16" s="0" t="n">
        <v>202</v>
      </c>
      <c r="J16" s="5" t="n">
        <f aca="false">(G16-G$3)/SQRT(H16^2/I16+H$3^2/I$3)</f>
        <v>0.23788897601314</v>
      </c>
      <c r="L16" s="4" t="n">
        <v>21.1931</v>
      </c>
      <c r="M16" s="4" t="n">
        <v>52.9415</v>
      </c>
      <c r="N16" s="0" t="n">
        <v>202</v>
      </c>
      <c r="O16" s="5" t="n">
        <f aca="false">(L16-L$3)/SQRT(M16^2/N16+M$3^2/N$3)</f>
        <v>-1.1246154081089</v>
      </c>
      <c r="Q16" s="4" t="n">
        <v>108.7822</v>
      </c>
      <c r="R16" s="4" t="n">
        <v>149.04</v>
      </c>
      <c r="S16" s="0" t="n">
        <v>202</v>
      </c>
      <c r="T16" s="5" t="n">
        <f aca="false">(Q16-Q$3)/SQRT(R16^2/S16+R$3^2/S$3)</f>
        <v>1.00260295865769</v>
      </c>
      <c r="V16" s="4" t="n">
        <v>68.9257</v>
      </c>
      <c r="W16" s="4" t="n">
        <v>58.9898</v>
      </c>
      <c r="X16" s="0" t="n">
        <v>202</v>
      </c>
      <c r="Y16" s="5" t="n">
        <f aca="false">(V16-V$3)/SQRT(W16^2/X16+W$3^2/X$3)</f>
        <v>1.54063855487162</v>
      </c>
      <c r="AA16" s="4" t="n">
        <f aca="false">V16+Q16+L16+G16+B16</f>
        <v>1440</v>
      </c>
    </row>
    <row r="17" customFormat="false" ht="12.75" hidden="false" customHeight="false" outlineLevel="0" collapsed="false">
      <c r="A17" s="0" t="n">
        <v>13</v>
      </c>
      <c r="B17" s="4" t="n">
        <v>967.0374</v>
      </c>
      <c r="C17" s="4" t="n">
        <v>246.7429</v>
      </c>
      <c r="D17" s="0" t="n">
        <v>107</v>
      </c>
      <c r="E17" s="5" t="n">
        <f aca="false">(B17-B$3)/SQRT(C17^2/D17+C$3^2/D$3)</f>
        <v>0.132590261240014</v>
      </c>
      <c r="G17" s="4" t="n">
        <v>274.4766</v>
      </c>
      <c r="H17" s="4" t="n">
        <v>269.2241</v>
      </c>
      <c r="I17" s="0" t="n">
        <v>107</v>
      </c>
      <c r="J17" s="5" t="n">
        <f aca="false">(G17-G$3)/SQRT(H17^2/I17+H$3^2/I$3)</f>
        <v>-0.599182774141435</v>
      </c>
      <c r="L17" s="4" t="n">
        <v>19.9346</v>
      </c>
      <c r="M17" s="4" t="n">
        <v>41.1246</v>
      </c>
      <c r="N17" s="0" t="n">
        <v>107</v>
      </c>
      <c r="O17" s="5" t="n">
        <f aca="false">(L17-L$3)/SQRT(M17^2/N17+M$3^2/N$3)</f>
        <v>-1.36320965773063</v>
      </c>
      <c r="Q17" s="4" t="n">
        <v>108.3364</v>
      </c>
      <c r="R17" s="4" t="n">
        <v>154.6732</v>
      </c>
      <c r="S17" s="0" t="n">
        <v>107</v>
      </c>
      <c r="T17" s="5" t="n">
        <f aca="false">(Q17-Q$3)/SQRT(R17^2/S17+R$3^2/S$3)</f>
        <v>0.684876397307558</v>
      </c>
      <c r="V17" s="4" t="n">
        <v>70.215</v>
      </c>
      <c r="W17" s="4" t="n">
        <v>58.4675</v>
      </c>
      <c r="X17" s="0" t="n">
        <v>107</v>
      </c>
      <c r="Y17" s="5" t="n">
        <f aca="false">(V17-V$3)/SQRT(W17^2/X17+W$3^2/X$3)</f>
        <v>1.37093144971477</v>
      </c>
      <c r="AA17" s="4" t="n">
        <f aca="false">V17+Q17+L17+G17+B17</f>
        <v>1440</v>
      </c>
    </row>
    <row r="18" customFormat="false" ht="12.75" hidden="false" customHeight="false" outlineLevel="0" collapsed="false">
      <c r="A18" s="0" t="n">
        <v>14</v>
      </c>
      <c r="B18" s="4" t="n">
        <v>998.9008</v>
      </c>
      <c r="C18" s="4" t="n">
        <v>252.3882</v>
      </c>
      <c r="D18" s="0" t="n">
        <v>131</v>
      </c>
      <c r="E18" s="5" t="n">
        <f aca="false">(B18-B$3)/SQRT(C18^2/D18+C$3^2/D$3)</f>
        <v>1.56053275499943</v>
      </c>
      <c r="G18" s="4" t="n">
        <v>258.5038</v>
      </c>
      <c r="H18" s="4" t="n">
        <v>248.65</v>
      </c>
      <c r="I18" s="0" t="n">
        <v>131</v>
      </c>
      <c r="J18" s="5" t="n">
        <f aca="false">(G18-G$3)/SQRT(H18^2/I18+H$3^2/I$3)</f>
        <v>-1.4319522246592</v>
      </c>
      <c r="L18" s="4" t="n">
        <v>28.0229</v>
      </c>
      <c r="M18" s="4" t="n">
        <v>52.2445</v>
      </c>
      <c r="N18" s="0" t="n">
        <v>131</v>
      </c>
      <c r="O18" s="5" t="n">
        <f aca="false">(L18-L$3)/SQRT(M18^2/N18+M$3^2/N$3)</f>
        <v>0.517692175368349</v>
      </c>
      <c r="Q18" s="4" t="n">
        <v>95.0153</v>
      </c>
      <c r="R18" s="4" t="n">
        <v>149.8239</v>
      </c>
      <c r="S18" s="0" t="n">
        <v>131</v>
      </c>
      <c r="T18" s="5" t="n">
        <f aca="false">(Q18-Q$3)/SQRT(R18^2/S18+R$3^2/S$3)</f>
        <v>-0.218491943167684</v>
      </c>
      <c r="V18" s="4" t="n">
        <v>59.5573</v>
      </c>
      <c r="W18" s="4" t="n">
        <v>45.2885</v>
      </c>
      <c r="X18" s="0" t="n">
        <v>131</v>
      </c>
      <c r="Y18" s="5" t="n">
        <f aca="false">(V18-V$3)/SQRT(W18^2/X18+W$3^2/X$3)</f>
        <v>-0.681203359837418</v>
      </c>
      <c r="AA18" s="4" t="n">
        <f aca="false">V18+Q18+L18+G18+B18</f>
        <v>1440.0001</v>
      </c>
    </row>
    <row r="19" customFormat="false" ht="12.75" hidden="false" customHeight="false" outlineLevel="0" collapsed="false">
      <c r="A19" s="0" t="n">
        <v>15</v>
      </c>
      <c r="B19" s="4" t="n">
        <v>927.0102</v>
      </c>
      <c r="C19" s="4" t="n">
        <v>215.4525</v>
      </c>
      <c r="D19" s="0" t="n">
        <v>98</v>
      </c>
      <c r="E19" s="5" t="n">
        <f aca="false">(B19-B$3)/SQRT(C19^2/D19+C$3^2/D$3)</f>
        <v>-1.65843228712833</v>
      </c>
      <c r="G19" s="4" t="n">
        <v>315.2551</v>
      </c>
      <c r="H19" s="4" t="n">
        <v>235.6704</v>
      </c>
      <c r="I19" s="0" t="n">
        <v>98</v>
      </c>
      <c r="J19" s="5" t="n">
        <f aca="false">(G19-G$3)/SQRT(H19^2/I19+H$3^2/I$3)</f>
        <v>1.02797188884291</v>
      </c>
      <c r="L19" s="4" t="n">
        <v>22.2041</v>
      </c>
      <c r="M19" s="4" t="n">
        <v>58.0227</v>
      </c>
      <c r="N19" s="0" t="n">
        <v>98</v>
      </c>
      <c r="O19" s="5" t="n">
        <f aca="false">(L19-L$3)/SQRT(M19^2/N19+M$3^2/N$3)</f>
        <v>-0.565458249907284</v>
      </c>
      <c r="Q19" s="4" t="n">
        <v>108.051</v>
      </c>
      <c r="R19" s="4" t="n">
        <v>141.7131</v>
      </c>
      <c r="S19" s="0" t="n">
        <v>98</v>
      </c>
      <c r="T19" s="5" t="n">
        <f aca="false">(Q19-Q$3)/SQRT(R19^2/S19+R$3^2/S$3)</f>
        <v>0.694781441274772</v>
      </c>
      <c r="V19" s="4" t="n">
        <v>67.4796</v>
      </c>
      <c r="W19" s="4" t="n">
        <v>50.2579</v>
      </c>
      <c r="X19" s="0" t="n">
        <v>98</v>
      </c>
      <c r="Y19" s="5" t="n">
        <f aca="false">(V19-V$3)/SQRT(W19^2/X19+W$3^2/X$3)</f>
        <v>0.992348434889382</v>
      </c>
      <c r="AA19" s="4" t="n">
        <f aca="false">V19+Q19+L19+G19+B19</f>
        <v>1440</v>
      </c>
    </row>
    <row r="20" customFormat="false" ht="12.75" hidden="false" customHeight="false" outlineLevel="0" collapsed="false">
      <c r="A20" s="0" t="n">
        <v>16</v>
      </c>
      <c r="B20" s="4" t="n">
        <v>937.7206</v>
      </c>
      <c r="C20" s="4" t="n">
        <v>226.8912</v>
      </c>
      <c r="D20" s="0" t="n">
        <v>68</v>
      </c>
      <c r="E20" s="5" t="n">
        <f aca="false">(B20-B$3)/SQRT(C20^2/D20+C$3^2/D$3)</f>
        <v>-0.936942821912433</v>
      </c>
      <c r="G20" s="4" t="n">
        <v>306.3235</v>
      </c>
      <c r="H20" s="4" t="n">
        <v>276.5698</v>
      </c>
      <c r="I20" s="0" t="n">
        <v>68</v>
      </c>
      <c r="J20" s="5" t="n">
        <f aca="false">(G20-G$3)/SQRT(H20^2/I20+H$3^2/I$3)</f>
        <v>0.472653458266639</v>
      </c>
      <c r="L20" s="4" t="n">
        <v>27.5</v>
      </c>
      <c r="M20" s="4" t="n">
        <v>49.2525</v>
      </c>
      <c r="N20" s="0" t="n">
        <v>68</v>
      </c>
      <c r="O20" s="5" t="n">
        <f aca="false">(L20-L$3)/SQRT(M20^2/N20+M$3^2/N$3)</f>
        <v>0.314885652874521</v>
      </c>
      <c r="Q20" s="4" t="n">
        <v>96.7353</v>
      </c>
      <c r="R20" s="4" t="n">
        <v>146.6797</v>
      </c>
      <c r="S20" s="0" t="n">
        <v>68</v>
      </c>
      <c r="T20" s="5" t="n">
        <f aca="false">(Q20-Q$3)/SQRT(R20^2/S20+R$3^2/S$3)</f>
        <v>-0.0666512265526722</v>
      </c>
      <c r="V20" s="4" t="n">
        <v>71.7206</v>
      </c>
      <c r="W20" s="4" t="n">
        <v>59.1993</v>
      </c>
      <c r="X20" s="0" t="n">
        <v>68</v>
      </c>
      <c r="Y20" s="5" t="n">
        <f aca="false">(V20-V$3)/SQRT(W20^2/X20+W$3^2/X$3)</f>
        <v>1.29355387382027</v>
      </c>
      <c r="AA20" s="4" t="n">
        <f aca="false">V20+Q20+L20+G20+B20</f>
        <v>1440</v>
      </c>
    </row>
    <row r="21" customFormat="false" ht="12.75" hidden="false" customHeight="false" outlineLevel="0" collapsed="false">
      <c r="A21" s="0" t="n">
        <v>17</v>
      </c>
      <c r="B21" s="4" t="n">
        <v>965.4691</v>
      </c>
      <c r="C21" s="4" t="n">
        <v>235.2733</v>
      </c>
      <c r="D21" s="0" t="n">
        <v>324</v>
      </c>
      <c r="E21" s="5" t="n">
        <f aca="false">(B21-B$3)/SQRT(C21^2/D21+C$3^2/D$3)</f>
        <v>0.119518359786104</v>
      </c>
      <c r="G21" s="4" t="n">
        <v>295.6698</v>
      </c>
      <c r="H21" s="4" t="n">
        <v>256.757</v>
      </c>
      <c r="I21" s="0" t="n">
        <v>324</v>
      </c>
      <c r="J21" s="5" t="n">
        <f aca="false">(G21-G$3)/SQRT(H21^2/I21+H$3^2/I$3)</f>
        <v>0.356590985784411</v>
      </c>
      <c r="L21" s="4" t="n">
        <v>25.0833</v>
      </c>
      <c r="M21" s="4" t="n">
        <v>61.9767</v>
      </c>
      <c r="N21" s="0" t="n">
        <v>324</v>
      </c>
      <c r="O21" s="5" t="n">
        <f aca="false">(L21-L$3)/SQRT(M21^2/N21+M$3^2/N$3)</f>
        <v>-0.137592344114473</v>
      </c>
      <c r="Q21" s="4" t="n">
        <v>89.713</v>
      </c>
      <c r="R21" s="4" t="n">
        <v>135.888</v>
      </c>
      <c r="S21" s="0" t="n">
        <v>324</v>
      </c>
      <c r="T21" s="5" t="n">
        <f aca="false">(Q21-Q$3)/SQRT(R21^2/S21+R$3^2/S$3)</f>
        <v>-1.02684766271578</v>
      </c>
      <c r="V21" s="4" t="n">
        <v>64.0648</v>
      </c>
      <c r="W21" s="4" t="n">
        <v>51.9161</v>
      </c>
      <c r="X21" s="0" t="n">
        <v>324</v>
      </c>
      <c r="Y21" s="5" t="n">
        <f aca="false">(V21-V$3)/SQRT(W21^2/X21+W$3^2/X$3)</f>
        <v>0.563482007090204</v>
      </c>
      <c r="AA21" s="4" t="n">
        <f aca="false">V21+Q21+L21+G21+B21</f>
        <v>1440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V3"/>
    </sheetView>
  </sheetViews>
  <sheetFormatPr defaultColWidth="10.70703125" defaultRowHeight="12.75" customHeight="false" zeroHeight="false" outlineLevelRow="0" outlineLevelCol="0"/>
  <cols>
    <col collapsed="false" customWidth="false" hidden="false" outlineLevel="0" max="257" min="1" style="4" width="10.71"/>
  </cols>
  <sheetData>
    <row r="1" customFormat="false" ht="12.75" hidden="false" customHeight="false" outlineLevel="0" collapsed="false">
      <c r="B1" s="4" t="s">
        <v>14</v>
      </c>
      <c r="E1" s="5"/>
      <c r="G1" s="4" t="s">
        <v>41</v>
      </c>
      <c r="J1" s="5"/>
      <c r="L1" s="4" t="s">
        <v>38</v>
      </c>
      <c r="O1" s="5"/>
      <c r="Q1" s="4" t="s">
        <v>42</v>
      </c>
      <c r="T1" s="5"/>
      <c r="V1" s="4" t="s">
        <v>43</v>
      </c>
      <c r="Y1" s="5"/>
      <c r="AA1" s="4" t="s">
        <v>44</v>
      </c>
    </row>
    <row r="2" customFormat="false" ht="12.75" hidden="false" customHeight="false" outlineLevel="0" collapsed="false">
      <c r="B2" s="4" t="s">
        <v>5</v>
      </c>
      <c r="C2" s="4" t="s">
        <v>46</v>
      </c>
      <c r="D2" s="4" t="s">
        <v>7</v>
      </c>
      <c r="E2" s="5" t="s">
        <v>45</v>
      </c>
      <c r="G2" s="4" t="s">
        <v>5</v>
      </c>
      <c r="H2" s="4" t="s">
        <v>6</v>
      </c>
      <c r="I2" s="4" t="s">
        <v>7</v>
      </c>
      <c r="J2" s="5" t="s">
        <v>45</v>
      </c>
      <c r="L2" s="4" t="s">
        <v>5</v>
      </c>
      <c r="M2" s="4" t="s">
        <v>6</v>
      </c>
      <c r="N2" s="4" t="s">
        <v>7</v>
      </c>
      <c r="O2" s="5" t="s">
        <v>45</v>
      </c>
      <c r="Q2" s="4" t="s">
        <v>5</v>
      </c>
      <c r="R2" s="4" t="s">
        <v>6</v>
      </c>
      <c r="S2" s="4" t="s">
        <v>7</v>
      </c>
      <c r="T2" s="5" t="s">
        <v>45</v>
      </c>
      <c r="V2" s="4" t="s">
        <v>5</v>
      </c>
      <c r="W2" s="4" t="s">
        <v>6</v>
      </c>
      <c r="X2" s="4" t="s">
        <v>7</v>
      </c>
      <c r="Y2" s="5" t="s">
        <v>45</v>
      </c>
    </row>
    <row r="3" customFormat="false" ht="12.75" hidden="false" customHeight="false" outlineLevel="0" collapsed="false">
      <c r="A3" s="4" t="s">
        <v>15</v>
      </c>
      <c r="B3" s="4" t="n">
        <v>1168.4203</v>
      </c>
      <c r="C3" s="4" t="n">
        <v>225.7907</v>
      </c>
      <c r="D3" s="4" t="n">
        <v>433</v>
      </c>
      <c r="E3" s="5"/>
      <c r="G3" s="4" t="n">
        <v>13.3349</v>
      </c>
      <c r="H3" s="4" t="n">
        <v>79.8819</v>
      </c>
      <c r="I3" s="4" t="n">
        <v>433</v>
      </c>
      <c r="J3" s="5"/>
      <c r="L3" s="4" t="n">
        <v>19.1848</v>
      </c>
      <c r="M3" s="4" t="n">
        <v>41.7914</v>
      </c>
      <c r="N3" s="4" t="n">
        <v>433</v>
      </c>
      <c r="O3" s="5"/>
      <c r="Q3" s="4" t="n">
        <v>183.0462</v>
      </c>
      <c r="R3" s="4" t="n">
        <v>205.5784</v>
      </c>
      <c r="S3" s="4" t="n">
        <v>433</v>
      </c>
      <c r="T3" s="5"/>
      <c r="V3" s="4" t="n">
        <v>56.0139</v>
      </c>
      <c r="W3" s="4" t="n">
        <v>65.0979</v>
      </c>
      <c r="X3" s="4" t="n">
        <v>433</v>
      </c>
      <c r="Y3" s="5"/>
      <c r="AA3" s="4" t="n">
        <f aca="false">V3+Q3+L3+G3+B3</f>
        <v>1440.0001</v>
      </c>
    </row>
    <row r="4" customFormat="false" ht="12.75" hidden="false" customHeight="false" outlineLevel="0" collapsed="false">
      <c r="A4" s="4" t="s">
        <v>16</v>
      </c>
      <c r="E4" s="5"/>
      <c r="J4" s="5"/>
      <c r="O4" s="5"/>
      <c r="T4" s="5"/>
      <c r="Y4" s="5"/>
    </row>
    <row r="5" customFormat="false" ht="12.75" hidden="false" customHeight="false" outlineLevel="0" collapsed="false">
      <c r="A5" s="4" t="n">
        <v>1</v>
      </c>
      <c r="B5" s="4" t="n">
        <v>1071.95</v>
      </c>
      <c r="C5" s="4" t="n">
        <v>264.3416</v>
      </c>
      <c r="D5" s="4" t="n">
        <v>20</v>
      </c>
      <c r="E5" s="5" t="n">
        <f aca="false">(B5-B$3)/SQRT(C5^2/D5+C$3^2/D$3)</f>
        <v>-1.60526214413274</v>
      </c>
      <c r="G5" s="4" t="n">
        <v>28.65</v>
      </c>
      <c r="H5" s="4" t="n">
        <v>128.1267</v>
      </c>
      <c r="I5" s="4" t="n">
        <v>20</v>
      </c>
      <c r="J5" s="5" t="n">
        <f aca="false">(G5-G$3)/SQRT(H5^2/I5+H$3^2/I$3)</f>
        <v>0.529823395697801</v>
      </c>
      <c r="L5" s="4" t="n">
        <v>10.9</v>
      </c>
      <c r="M5" s="4" t="n">
        <v>18.708</v>
      </c>
      <c r="N5" s="4" t="n">
        <v>20</v>
      </c>
      <c r="O5" s="5" t="n">
        <f aca="false">(L5-L$3)/SQRT(M5^2/N5+M$3^2/N$3)</f>
        <v>-1.78537630242474</v>
      </c>
      <c r="Q5" s="4" t="n">
        <v>280.6</v>
      </c>
      <c r="R5" s="4" t="n">
        <v>256.7926</v>
      </c>
      <c r="S5" s="4" t="n">
        <v>20</v>
      </c>
      <c r="T5" s="5" t="n">
        <f aca="false">(Q5-Q$3)/SQRT(R5^2/S5+R$3^2/S$3)</f>
        <v>1.67433300211415</v>
      </c>
      <c r="V5" s="4" t="n">
        <v>47.9</v>
      </c>
      <c r="W5" s="4" t="n">
        <v>28.8187</v>
      </c>
      <c r="X5" s="4" t="n">
        <v>20</v>
      </c>
      <c r="Y5" s="5" t="n">
        <f aca="false">(V5-V$3)/SQRT(W5^2/X5+W$3^2/X$3)</f>
        <v>-1.13270500505221</v>
      </c>
      <c r="AA5" s="4" t="n">
        <f aca="false">V5+Q5+L5+G5+B5</f>
        <v>1440</v>
      </c>
    </row>
    <row r="6" customFormat="false" ht="12.75" hidden="false" customHeight="false" outlineLevel="0" collapsed="false">
      <c r="A6" s="4" t="n">
        <v>2</v>
      </c>
      <c r="B6" s="4" t="n">
        <v>1146.3</v>
      </c>
      <c r="C6" s="4" t="n">
        <v>251.6454</v>
      </c>
      <c r="D6" s="4" t="n">
        <v>50</v>
      </c>
      <c r="E6" s="5" t="n">
        <f aca="false">(B6-B$3)/SQRT(C6^2/D6+C$3^2/D$3)</f>
        <v>-0.594544040094083</v>
      </c>
      <c r="G6" s="4" t="n">
        <v>9.5</v>
      </c>
      <c r="H6" s="4" t="n">
        <v>67.1751</v>
      </c>
      <c r="I6" s="4" t="n">
        <v>50</v>
      </c>
      <c r="J6" s="5" t="n">
        <f aca="false">(G6-G$3)/SQRT(H6^2/I6+H$3^2/I$3)</f>
        <v>-0.374271313176726</v>
      </c>
      <c r="L6" s="4" t="n">
        <v>11.46</v>
      </c>
      <c r="M6" s="4" t="n">
        <v>20.0878</v>
      </c>
      <c r="N6" s="4" t="n">
        <v>50</v>
      </c>
      <c r="O6" s="5" t="n">
        <f aca="false">(L6-L$3)/SQRT(M6^2/N6+M$3^2/N$3)</f>
        <v>-2.22036328873951</v>
      </c>
      <c r="Q6" s="4" t="n">
        <v>204.5</v>
      </c>
      <c r="R6" s="4" t="n">
        <v>224.7615</v>
      </c>
      <c r="S6" s="4" t="n">
        <v>50</v>
      </c>
      <c r="T6" s="5" t="n">
        <f aca="false">(Q6-Q$3)/SQRT(R6^2/S6+R$3^2/S$3)</f>
        <v>0.644529022611771</v>
      </c>
      <c r="V6" s="4" t="n">
        <v>68.24</v>
      </c>
      <c r="W6" s="4" t="n">
        <v>89.4807</v>
      </c>
      <c r="X6" s="4" t="n">
        <v>50</v>
      </c>
      <c r="Y6" s="5" t="n">
        <f aca="false">(V6-V$3)/SQRT(W6^2/X6+W$3^2/X$3)</f>
        <v>0.937911956658598</v>
      </c>
      <c r="AA6" s="4" t="n">
        <f aca="false">V6+Q6+L6+G6+B6</f>
        <v>1440</v>
      </c>
    </row>
    <row r="7" customFormat="false" ht="12.75" hidden="false" customHeight="false" outlineLevel="0" collapsed="false">
      <c r="A7" s="4" t="n">
        <v>3</v>
      </c>
      <c r="B7" s="4" t="n">
        <v>1190.9655</v>
      </c>
      <c r="C7" s="4" t="n">
        <v>199.5077</v>
      </c>
      <c r="D7" s="4" t="n">
        <v>29</v>
      </c>
      <c r="E7" s="5" t="n">
        <f aca="false">(B7-B$3)/SQRT(C7^2/D7+C$3^2/D$3)</f>
        <v>0.584012100230796</v>
      </c>
      <c r="G7" s="4" t="n">
        <v>17.9655</v>
      </c>
      <c r="H7" s="4" t="n">
        <v>96.7473</v>
      </c>
      <c r="I7" s="4" t="n">
        <v>29</v>
      </c>
      <c r="J7" s="5" t="n">
        <f aca="false">(G7-G$3)/SQRT(H7^2/I7+H$3^2/I$3)</f>
        <v>0.252059060002609</v>
      </c>
      <c r="L7" s="4" t="n">
        <v>26.6897</v>
      </c>
      <c r="M7" s="4" t="n">
        <v>70.8495</v>
      </c>
      <c r="N7" s="4" t="n">
        <v>29</v>
      </c>
      <c r="O7" s="5" t="n">
        <f aca="false">(L7-L$3)/SQRT(M7^2/N7+M$3^2/N$3)</f>
        <v>0.563903788277406</v>
      </c>
      <c r="Q7" s="4" t="n">
        <v>156.8276</v>
      </c>
      <c r="R7" s="4" t="n">
        <v>192.2864</v>
      </c>
      <c r="S7" s="4" t="n">
        <v>29</v>
      </c>
      <c r="T7" s="5" t="n">
        <f aca="false">(Q7-Q$3)/SQRT(R7^2/S7+R$3^2/S$3)</f>
        <v>-0.707688302778364</v>
      </c>
      <c r="V7" s="4" t="n">
        <v>47.5517</v>
      </c>
      <c r="W7" s="4" t="n">
        <v>52.6292</v>
      </c>
      <c r="X7" s="4" t="n">
        <v>29</v>
      </c>
      <c r="Y7" s="5" t="n">
        <f aca="false">(V7-V$3)/SQRT(W7^2/X7+W$3^2/X$3)</f>
        <v>-0.8246552239898</v>
      </c>
      <c r="AA7" s="4" t="n">
        <f aca="false">V7+Q7+L7+G7+B7</f>
        <v>1440</v>
      </c>
    </row>
    <row r="8" customFormat="false" ht="12.75" hidden="false" customHeight="false" outlineLevel="0" collapsed="false">
      <c r="A8" s="4" t="n">
        <v>4</v>
      </c>
      <c r="B8" s="4" t="n">
        <v>1200.6667</v>
      </c>
      <c r="C8" s="4" t="n">
        <v>216.1971</v>
      </c>
      <c r="D8" s="4" t="n">
        <v>36</v>
      </c>
      <c r="E8" s="5" t="n">
        <f aca="false">(B8-B$3)/SQRT(C8^2/D8+C$3^2/D$3)</f>
        <v>0.856906240205673</v>
      </c>
      <c r="G8" s="4" t="n">
        <v>34.1667</v>
      </c>
      <c r="H8" s="4" t="n">
        <v>136.1924</v>
      </c>
      <c r="I8" s="4" t="n">
        <v>36</v>
      </c>
      <c r="J8" s="5" t="n">
        <f aca="false">(G8-G$3)/SQRT(H8^2/I8+H$3^2/I$3)</f>
        <v>0.904901616657029</v>
      </c>
      <c r="L8" s="4" t="n">
        <v>13.1389</v>
      </c>
      <c r="M8" s="4" t="n">
        <v>29.3862</v>
      </c>
      <c r="N8" s="4" t="n">
        <v>36</v>
      </c>
      <c r="O8" s="5" t="n">
        <f aca="false">(L8-L$3)/SQRT(M8^2/N8+M$3^2/N$3)</f>
        <v>-1.14213945414206</v>
      </c>
      <c r="Q8" s="4" t="n">
        <v>140.6667</v>
      </c>
      <c r="R8" s="4" t="n">
        <v>178.8642</v>
      </c>
      <c r="S8" s="4" t="n">
        <v>36</v>
      </c>
      <c r="T8" s="5" t="n">
        <f aca="false">(Q8-Q$3)/SQRT(R8^2/S8+R$3^2/S$3)</f>
        <v>-1.34944546629782</v>
      </c>
      <c r="V8" s="4" t="n">
        <v>51.3611</v>
      </c>
      <c r="W8" s="4" t="n">
        <v>57.5456</v>
      </c>
      <c r="X8" s="4" t="n">
        <v>36</v>
      </c>
      <c r="Y8" s="5" t="n">
        <f aca="false">(V8-V$3)/SQRT(W8^2/X8+W$3^2/X$3)</f>
        <v>-0.461209518185734</v>
      </c>
      <c r="AA8" s="4" t="n">
        <f aca="false">V8+Q8+L8+G8+B8</f>
        <v>1440.0001</v>
      </c>
    </row>
    <row r="9" customFormat="false" ht="12.75" hidden="false" customHeight="false" outlineLevel="0" collapsed="false">
      <c r="A9" s="4" t="n">
        <v>5</v>
      </c>
      <c r="B9" s="4" t="n">
        <v>1210.8667</v>
      </c>
      <c r="C9" s="4" t="n">
        <v>202.8554</v>
      </c>
      <c r="D9" s="4" t="n">
        <v>30</v>
      </c>
      <c r="E9" s="5" t="n">
        <f aca="false">(B9-B$3)/SQRT(C9^2/D9+C$3^2/D$3)</f>
        <v>1.09984804264312</v>
      </c>
      <c r="G9" s="4" t="n">
        <v>0</v>
      </c>
      <c r="H9" s="4" t="n">
        <v>0</v>
      </c>
      <c r="I9" s="4" t="n">
        <v>30</v>
      </c>
      <c r="J9" s="5" t="n">
        <f aca="false">(G9-G$3)/SQRT(H9^2/I9+H$3^2/I$3)</f>
        <v>-3.47364414438486</v>
      </c>
      <c r="L9" s="4" t="n">
        <v>18.3</v>
      </c>
      <c r="M9" s="4" t="n">
        <v>32.8026</v>
      </c>
      <c r="N9" s="4" t="n">
        <v>30</v>
      </c>
      <c r="O9" s="5" t="n">
        <f aca="false">(L9-L$3)/SQRT(M9^2/N9+M$3^2/N$3)</f>
        <v>-0.140073392106799</v>
      </c>
      <c r="Q9" s="4" t="n">
        <v>170.7333</v>
      </c>
      <c r="R9" s="4" t="n">
        <v>187.6778</v>
      </c>
      <c r="S9" s="4" t="n">
        <v>30</v>
      </c>
      <c r="T9" s="5" t="n">
        <f aca="false">(Q9-Q$3)/SQRT(R9^2/S9+R$3^2/S$3)</f>
        <v>-0.34527696194412</v>
      </c>
      <c r="V9" s="4" t="n">
        <v>40.1</v>
      </c>
      <c r="W9" s="4" t="n">
        <v>29.3872</v>
      </c>
      <c r="X9" s="4" t="n">
        <v>30</v>
      </c>
      <c r="Y9" s="5" t="n">
        <f aca="false">(V9-V$3)/SQRT(W9^2/X9+W$3^2/X$3)</f>
        <v>-2.56230131050728</v>
      </c>
      <c r="AA9" s="4" t="n">
        <f aca="false">V9+Q9+L9+G9+B9</f>
        <v>1440</v>
      </c>
    </row>
    <row r="10" customFormat="false" ht="12.75" hidden="false" customHeight="false" outlineLevel="0" collapsed="false">
      <c r="A10" s="4" t="n">
        <v>6</v>
      </c>
      <c r="B10" s="4" t="n">
        <v>1178.9375</v>
      </c>
      <c r="C10" s="4" t="n">
        <v>189.1961</v>
      </c>
      <c r="D10" s="4" t="n">
        <v>48</v>
      </c>
      <c r="E10" s="5" t="n">
        <f aca="false">(B10-B$3)/SQRT(C10^2/D10+C$3^2/D$3)</f>
        <v>0.357911657017253</v>
      </c>
      <c r="G10" s="4" t="n">
        <v>1.7708</v>
      </c>
      <c r="H10" s="4" t="n">
        <v>12.2687</v>
      </c>
      <c r="I10" s="4" t="n">
        <v>48</v>
      </c>
      <c r="J10" s="5" t="n">
        <f aca="false">(G10-G$3)/SQRT(H10^2/I10+H$3^2/I$3)</f>
        <v>-2.7353630017541</v>
      </c>
      <c r="L10" s="4" t="n">
        <v>21.9792</v>
      </c>
      <c r="M10" s="4" t="n">
        <v>40.7131</v>
      </c>
      <c r="N10" s="4" t="n">
        <v>48</v>
      </c>
      <c r="O10" s="5" t="n">
        <f aca="false">(L10-L$3)/SQRT(M10^2/N10+M$3^2/N$3)</f>
        <v>0.449973025910996</v>
      </c>
      <c r="Q10" s="4" t="n">
        <v>171.7083</v>
      </c>
      <c r="R10" s="4" t="n">
        <v>168.1251</v>
      </c>
      <c r="S10" s="4" t="n">
        <v>48</v>
      </c>
      <c r="T10" s="5" t="n">
        <f aca="false">(Q10-Q$3)/SQRT(R10^2/S10+R$3^2/S$3)</f>
        <v>-0.432731697696952</v>
      </c>
      <c r="V10" s="4" t="n">
        <v>65.6042</v>
      </c>
      <c r="W10" s="4" t="n">
        <v>67.0426</v>
      </c>
      <c r="X10" s="4" t="n">
        <v>48</v>
      </c>
      <c r="Y10" s="5" t="n">
        <f aca="false">(V10-V$3)/SQRT(W10^2/X10+W$3^2/X$3)</f>
        <v>0.943008970031191</v>
      </c>
      <c r="AA10" s="4" t="n">
        <f aca="false">V10+Q10+L10+G10+B10</f>
        <v>1440</v>
      </c>
    </row>
    <row r="11" customFormat="false" ht="12.75" hidden="false" customHeight="false" outlineLevel="0" collapsed="false">
      <c r="A11" s="4" t="n">
        <v>7</v>
      </c>
      <c r="B11" s="4" t="n">
        <v>1233.5135</v>
      </c>
      <c r="C11" s="4" t="n">
        <v>175.0361</v>
      </c>
      <c r="D11" s="4" t="n">
        <v>37</v>
      </c>
      <c r="E11" s="5" t="n">
        <f aca="false">(B11-B$3)/SQRT(C11^2/D11+C$3^2/D$3)</f>
        <v>2.11660383422956</v>
      </c>
      <c r="G11" s="4" t="n">
        <v>8.9189</v>
      </c>
      <c r="H11" s="4" t="n">
        <v>38.2814</v>
      </c>
      <c r="I11" s="4" t="n">
        <v>37</v>
      </c>
      <c r="J11" s="5" t="n">
        <f aca="false">(G11-G$3)/SQRT(H11^2/I11+H$3^2/I$3)</f>
        <v>-0.599035528374438</v>
      </c>
      <c r="L11" s="4" t="n">
        <v>37.1622</v>
      </c>
      <c r="M11" s="4" t="n">
        <v>60.5945</v>
      </c>
      <c r="N11" s="4" t="n">
        <v>37</v>
      </c>
      <c r="O11" s="5" t="n">
        <f aca="false">(L11-L$3)/SQRT(M11^2/N11+M$3^2/N$3)</f>
        <v>1.76906162036848</v>
      </c>
      <c r="Q11" s="4" t="n">
        <v>102</v>
      </c>
      <c r="R11" s="4" t="n">
        <v>135.4663</v>
      </c>
      <c r="S11" s="4" t="n">
        <v>37</v>
      </c>
      <c r="T11" s="5" t="n">
        <f aca="false">(Q11-Q$3)/SQRT(R11^2/S11+R$3^2/S$3)</f>
        <v>-3.32654198213608</v>
      </c>
      <c r="V11" s="4" t="n">
        <v>58.4054</v>
      </c>
      <c r="W11" s="4" t="n">
        <v>72.7994</v>
      </c>
      <c r="X11" s="4" t="n">
        <v>37</v>
      </c>
      <c r="Y11" s="5" t="n">
        <f aca="false">(V11-V$3)/SQRT(W11^2/X11+W$3^2/X$3)</f>
        <v>0.193326483026834</v>
      </c>
      <c r="AA11" s="4" t="n">
        <f aca="false">V11+Q11+L11+G11+B11</f>
        <v>1440</v>
      </c>
    </row>
    <row r="12" customFormat="false" ht="12.75" hidden="false" customHeight="false" outlineLevel="0" collapsed="false">
      <c r="A12" s="4" t="n">
        <v>8</v>
      </c>
      <c r="B12" s="4" t="n">
        <v>1217.9</v>
      </c>
      <c r="C12" s="4" t="n">
        <v>197.8928</v>
      </c>
      <c r="D12" s="4" t="n">
        <v>30</v>
      </c>
      <c r="E12" s="5" t="n">
        <f aca="false">(B12-B$3)/SQRT(C12^2/D12+C$3^2/D$3)</f>
        <v>1.31161228073368</v>
      </c>
      <c r="G12" s="4" t="n">
        <v>0</v>
      </c>
      <c r="H12" s="4" t="n">
        <v>0</v>
      </c>
      <c r="I12" s="4" t="n">
        <v>30</v>
      </c>
      <c r="J12" s="5" t="n">
        <f aca="false">(G12-G$3)/SQRT(H12^2/I12+H$3^2/I$3)</f>
        <v>-3.47364414438486</v>
      </c>
      <c r="L12" s="4" t="n">
        <v>19.4</v>
      </c>
      <c r="M12" s="4" t="n">
        <v>32.4405</v>
      </c>
      <c r="N12" s="4" t="n">
        <v>30</v>
      </c>
      <c r="O12" s="5" t="n">
        <f aca="false">(L12-L$3)/SQRT(M12^2/N12+M$3^2/N$3)</f>
        <v>0.0344097335976251</v>
      </c>
      <c r="Q12" s="4" t="n">
        <v>138.5667</v>
      </c>
      <c r="R12" s="4" t="n">
        <v>158.722</v>
      </c>
      <c r="S12" s="4" t="n">
        <v>30</v>
      </c>
      <c r="T12" s="5" t="n">
        <f aca="false">(Q12-Q$3)/SQRT(R12^2/S12+R$3^2/S$3)</f>
        <v>-1.45280313600273</v>
      </c>
      <c r="V12" s="4" t="n">
        <v>64.1333</v>
      </c>
      <c r="W12" s="4" t="n">
        <v>108.7464</v>
      </c>
      <c r="X12" s="4" t="n">
        <v>30</v>
      </c>
      <c r="Y12" s="5" t="n">
        <f aca="false">(V12-V$3)/SQRT(W12^2/X12+W$3^2/X$3)</f>
        <v>0.403965461890294</v>
      </c>
      <c r="AA12" s="4" t="n">
        <f aca="false">V12+Q12+L12+G12+B12</f>
        <v>1440</v>
      </c>
    </row>
    <row r="13" customFormat="false" ht="12.75" hidden="false" customHeight="false" outlineLevel="0" collapsed="false">
      <c r="A13" s="4" t="n">
        <v>9</v>
      </c>
      <c r="B13" s="4" t="n">
        <v>1220.6667</v>
      </c>
      <c r="C13" s="4" t="n">
        <v>199.368</v>
      </c>
      <c r="D13" s="4" t="n">
        <v>27</v>
      </c>
      <c r="E13" s="5" t="n">
        <f aca="false">(B13-B$3)/SQRT(C13^2/D13+C$3^2/D$3)</f>
        <v>1.31031316677165</v>
      </c>
      <c r="G13" s="4" t="n">
        <v>0</v>
      </c>
      <c r="H13" s="4" t="n">
        <v>0</v>
      </c>
      <c r="I13" s="4" t="n">
        <v>27</v>
      </c>
      <c r="J13" s="5" t="n">
        <f aca="false">(G13-G$3)/SQRT(H13^2/I13+H$3^2/I$3)</f>
        <v>-3.47364414438486</v>
      </c>
      <c r="L13" s="4" t="n">
        <v>21</v>
      </c>
      <c r="M13" s="4" t="n">
        <v>40.1152</v>
      </c>
      <c r="N13" s="4" t="n">
        <v>27</v>
      </c>
      <c r="O13" s="5" t="n">
        <f aca="false">(L13-L$3)/SQRT(M13^2/N13+M$3^2/N$3)</f>
        <v>0.227550479382911</v>
      </c>
      <c r="Q13" s="4" t="n">
        <v>148.8519</v>
      </c>
      <c r="R13" s="4" t="n">
        <v>181.1076</v>
      </c>
      <c r="S13" s="4" t="n">
        <v>27</v>
      </c>
      <c r="T13" s="5" t="n">
        <f aca="false">(Q13-Q$3)/SQRT(R13^2/S13+R$3^2/S$3)</f>
        <v>-0.943882082891689</v>
      </c>
      <c r="V13" s="4" t="n">
        <v>49.4815</v>
      </c>
      <c r="W13" s="4" t="n">
        <v>53.6559</v>
      </c>
      <c r="X13" s="4" t="n">
        <v>27</v>
      </c>
      <c r="Y13" s="5" t="n">
        <f aca="false">(V13-V$3)/SQRT(W13^2/X13+W$3^2/X$3)</f>
        <v>-0.605436325310478</v>
      </c>
      <c r="AA13" s="4" t="n">
        <f aca="false">V13+Q13+L13+G13+B13</f>
        <v>1440.0001</v>
      </c>
    </row>
    <row r="14" customFormat="false" ht="12.75" hidden="false" customHeight="false" outlineLevel="0" collapsed="false">
      <c r="A14" s="4" t="n">
        <v>10</v>
      </c>
      <c r="B14" s="4" t="n">
        <v>1119.1053</v>
      </c>
      <c r="C14" s="4" t="n">
        <v>218.0937</v>
      </c>
      <c r="D14" s="4" t="n">
        <v>19</v>
      </c>
      <c r="E14" s="5" t="n">
        <f aca="false">(B14-B$3)/SQRT(C14^2/D14+C$3^2/D$3)</f>
        <v>-0.963236170183798</v>
      </c>
      <c r="G14" s="4" t="n">
        <v>27.8947</v>
      </c>
      <c r="H14" s="4" t="n">
        <v>121.5903</v>
      </c>
      <c r="I14" s="4" t="n">
        <v>19</v>
      </c>
      <c r="J14" s="5" t="n">
        <f aca="false">(G14-G$3)/SQRT(H14^2/I14+H$3^2/I$3)</f>
        <v>0.517081639134703</v>
      </c>
      <c r="L14" s="4" t="n">
        <v>20.2632</v>
      </c>
      <c r="M14" s="4" t="n">
        <v>43.1417</v>
      </c>
      <c r="N14" s="4" t="n">
        <v>19</v>
      </c>
      <c r="O14" s="5" t="n">
        <f aca="false">(L14-L$3)/SQRT(M14^2/N14+M$3^2/N$3)</f>
        <v>0.106781823607869</v>
      </c>
      <c r="Q14" s="4" t="n">
        <v>229.0526</v>
      </c>
      <c r="R14" s="4" t="n">
        <v>175.9045</v>
      </c>
      <c r="S14" s="4" t="n">
        <v>19</v>
      </c>
      <c r="T14" s="5" t="n">
        <f aca="false">(Q14-Q$3)/SQRT(R14^2/S14+R$3^2/S$3)</f>
        <v>1.10733460896233</v>
      </c>
      <c r="V14" s="4" t="n">
        <v>43.6842</v>
      </c>
      <c r="W14" s="4" t="n">
        <v>40.973</v>
      </c>
      <c r="X14" s="4" t="n">
        <v>19</v>
      </c>
      <c r="Y14" s="5" t="n">
        <f aca="false">(V14-V$3)/SQRT(W14^2/X14+W$3^2/X$3)</f>
        <v>-1.24457299734189</v>
      </c>
      <c r="AA14" s="4" t="n">
        <f aca="false">V14+Q14+L14+G14+B14</f>
        <v>1440</v>
      </c>
    </row>
    <row r="15" customFormat="false" ht="12.75" hidden="false" customHeight="false" outlineLevel="0" collapsed="false">
      <c r="A15" s="4" t="n">
        <v>11</v>
      </c>
      <c r="B15" s="4" t="n">
        <v>1100.4815</v>
      </c>
      <c r="C15" s="4" t="n">
        <v>238.2299</v>
      </c>
      <c r="D15" s="4" t="n">
        <v>27</v>
      </c>
      <c r="E15" s="5" t="n">
        <f aca="false">(B15-B$3)/SQRT(C15^2/D15+C$3^2/D$3)</f>
        <v>-1.44201134783244</v>
      </c>
      <c r="G15" s="4" t="n">
        <v>0</v>
      </c>
      <c r="H15" s="4" t="n">
        <v>0</v>
      </c>
      <c r="I15" s="4" t="n">
        <v>27</v>
      </c>
      <c r="J15" s="5" t="n">
        <f aca="false">(G15-G$3)/SQRT(H15^2/I15+H$3^2/I$3)</f>
        <v>-3.47364414438486</v>
      </c>
      <c r="L15" s="4" t="n">
        <v>22.4074</v>
      </c>
      <c r="M15" s="4" t="n">
        <v>33.1874</v>
      </c>
      <c r="N15" s="4" t="n">
        <v>27</v>
      </c>
      <c r="O15" s="5" t="n">
        <f aca="false">(L15-L$3)/SQRT(M15^2/N15+M$3^2/N$3)</f>
        <v>0.481326923248501</v>
      </c>
      <c r="Q15" s="4" t="n">
        <v>258.6667</v>
      </c>
      <c r="R15" s="4" t="n">
        <v>237.5442</v>
      </c>
      <c r="S15" s="4" t="n">
        <v>27</v>
      </c>
      <c r="T15" s="5" t="n">
        <f aca="false">(Q15-Q$3)/SQRT(R15^2/S15+R$3^2/S$3)</f>
        <v>1.61683359296845</v>
      </c>
      <c r="V15" s="4" t="n">
        <v>58.4444</v>
      </c>
      <c r="W15" s="4" t="n">
        <v>34.9828</v>
      </c>
      <c r="X15" s="4" t="n">
        <v>27</v>
      </c>
      <c r="Y15" s="5" t="n">
        <f aca="false">(V15-V$3)/SQRT(W15^2/X15+W$3^2/X$3)</f>
        <v>0.327393268002453</v>
      </c>
      <c r="AA15" s="4" t="n">
        <f aca="false">V15+Q15+L15+G15+B15</f>
        <v>1440</v>
      </c>
    </row>
    <row r="16" customFormat="false" ht="12.75" hidden="false" customHeight="false" outlineLevel="0" collapsed="false">
      <c r="A16" s="4" t="n">
        <v>12</v>
      </c>
      <c r="B16" s="4" t="n">
        <v>1178.9524</v>
      </c>
      <c r="C16" s="4" t="n">
        <v>197.1899</v>
      </c>
      <c r="D16" s="4" t="n">
        <v>21</v>
      </c>
      <c r="E16" s="5" t="n">
        <f aca="false">(B16-B$3)/SQRT(C16^2/D16+C$3^2/D$3)</f>
        <v>0.23733034477545</v>
      </c>
      <c r="G16" s="4" t="n">
        <v>25</v>
      </c>
      <c r="H16" s="4" t="n">
        <v>114.5644</v>
      </c>
      <c r="I16" s="4" t="n">
        <v>21</v>
      </c>
      <c r="J16" s="5" t="n">
        <f aca="false">(G16-G$3)/SQRT(H16^2/I16+H$3^2/I$3)</f>
        <v>0.461198308301288</v>
      </c>
      <c r="L16" s="4" t="n">
        <v>21.6667</v>
      </c>
      <c r="M16" s="4" t="n">
        <v>68.704</v>
      </c>
      <c r="N16" s="4" t="n">
        <v>21</v>
      </c>
      <c r="O16" s="5" t="n">
        <f aca="false">(L16-L$3)/SQRT(M16^2/N16+M$3^2/N$3)</f>
        <v>0.164077778330076</v>
      </c>
      <c r="Q16" s="4" t="n">
        <v>165.5714</v>
      </c>
      <c r="R16" s="4" t="n">
        <v>179.5404</v>
      </c>
      <c r="S16" s="4" t="n">
        <v>21</v>
      </c>
      <c r="T16" s="5" t="n">
        <f aca="false">(Q16-Q$3)/SQRT(R16^2/S16+R$3^2/S$3)</f>
        <v>-0.432487293619948</v>
      </c>
      <c r="V16" s="4" t="n">
        <v>48.8095</v>
      </c>
      <c r="W16" s="4" t="n">
        <v>37.4201</v>
      </c>
      <c r="X16" s="4" t="n">
        <v>21</v>
      </c>
      <c r="Y16" s="5" t="n">
        <f aca="false">(V16-V$3)/SQRT(W16^2/X16+W$3^2/X$3)</f>
        <v>-0.823878551123179</v>
      </c>
      <c r="AA16" s="4" t="n">
        <f aca="false">V16+Q16+L16+G16+B16</f>
        <v>1440</v>
      </c>
    </row>
    <row r="17" customFormat="false" ht="12.75" hidden="false" customHeight="false" outlineLevel="0" collapsed="false">
      <c r="A17" s="4" t="n">
        <v>13</v>
      </c>
      <c r="B17" s="4" t="n">
        <v>1195.6667</v>
      </c>
      <c r="C17" s="4" t="n">
        <v>204.3417</v>
      </c>
      <c r="D17" s="4" t="n">
        <v>18</v>
      </c>
      <c r="E17" s="5" t="n">
        <f aca="false">(B17-B$3)/SQRT(C17^2/D17+C$3^2/D$3)</f>
        <v>0.551870973656221</v>
      </c>
      <c r="G17" s="4" t="n">
        <v>7.2222</v>
      </c>
      <c r="H17" s="4" t="n">
        <v>30.6413</v>
      </c>
      <c r="I17" s="4" t="n">
        <v>18</v>
      </c>
      <c r="J17" s="5" t="n">
        <f aca="false">(G17-G$3)/SQRT(H17^2/I17+H$3^2/I$3)</f>
        <v>-0.747357010627455</v>
      </c>
      <c r="L17" s="4" t="n">
        <v>20</v>
      </c>
      <c r="M17" s="4" t="n">
        <v>52.8527</v>
      </c>
      <c r="N17" s="4" t="n">
        <v>18</v>
      </c>
      <c r="O17" s="5" t="n">
        <f aca="false">(L17-L$3)/SQRT(M17^2/N17+M$3^2/N$3)</f>
        <v>0.0646043045388231</v>
      </c>
      <c r="Q17" s="4" t="n">
        <v>146.4444</v>
      </c>
      <c r="R17" s="4" t="n">
        <v>177.6051</v>
      </c>
      <c r="S17" s="4" t="n">
        <v>18</v>
      </c>
      <c r="T17" s="5" t="n">
        <f aca="false">(Q17-Q$3)/SQRT(R17^2/S17+R$3^2/S$3)</f>
        <v>-0.850968925840233</v>
      </c>
      <c r="V17" s="4" t="n">
        <v>70.6667</v>
      </c>
      <c r="W17" s="4" t="n">
        <v>97.6633</v>
      </c>
      <c r="X17" s="4" t="n">
        <v>18</v>
      </c>
      <c r="Y17" s="5" t="n">
        <f aca="false">(V17-V$3)/SQRT(W17^2/X17+W$3^2/X$3)</f>
        <v>0.630741577449586</v>
      </c>
      <c r="AA17" s="4" t="n">
        <f aca="false">V17+Q17+L17+G17+B17</f>
        <v>1440</v>
      </c>
    </row>
    <row r="18" customFormat="false" ht="12.75" hidden="false" customHeight="false" outlineLevel="0" collapsed="false">
      <c r="A18" s="4" t="n">
        <v>14</v>
      </c>
      <c r="B18" s="4" t="n">
        <v>996.7</v>
      </c>
      <c r="C18" s="4" t="n">
        <v>337.9678</v>
      </c>
      <c r="D18" s="4" t="n">
        <v>10</v>
      </c>
      <c r="E18" s="5" t="n">
        <f aca="false">(B18-B$3)/SQRT(C18^2/D18+C$3^2/D$3)</f>
        <v>-1.59852496127136</v>
      </c>
      <c r="G18" s="4" t="n">
        <v>55.5</v>
      </c>
      <c r="H18" s="4" t="n">
        <v>175.5064</v>
      </c>
      <c r="I18" s="4" t="n">
        <v>10</v>
      </c>
      <c r="J18" s="5" t="n">
        <f aca="false">(G18-G$3)/SQRT(H18^2/I18+H$3^2/I$3)</f>
        <v>0.757920659927323</v>
      </c>
      <c r="L18" s="4" t="n">
        <v>1.5</v>
      </c>
      <c r="M18" s="4" t="n">
        <v>4.7434</v>
      </c>
      <c r="N18" s="4" t="n">
        <v>10</v>
      </c>
      <c r="O18" s="5" t="n">
        <f aca="false">(L18-L$3)/SQRT(M18^2/N18+M$3^2/N$3)</f>
        <v>-7.05502630579661</v>
      </c>
      <c r="Q18" s="4" t="n">
        <v>312.1</v>
      </c>
      <c r="R18" s="4" t="n">
        <v>312.3596</v>
      </c>
      <c r="S18" s="4" t="n">
        <v>10</v>
      </c>
      <c r="T18" s="5" t="n">
        <f aca="false">(Q18-Q$3)/SQRT(R18^2/S18+R$3^2/S$3)</f>
        <v>1.30003328836944</v>
      </c>
      <c r="V18" s="4" t="n">
        <v>74.2</v>
      </c>
      <c r="W18" s="4" t="n">
        <v>76.4109</v>
      </c>
      <c r="X18" s="4" t="n">
        <v>10</v>
      </c>
      <c r="Y18" s="5" t="n">
        <f aca="false">(V18-V$3)/SQRT(W18^2/X18+W$3^2/X$3)</f>
        <v>0.746404978266063</v>
      </c>
      <c r="AA18" s="4" t="n">
        <f aca="false">V18+Q18+L18+G18+B18</f>
        <v>1440</v>
      </c>
    </row>
    <row r="19" customFormat="false" ht="12.75" hidden="false" customHeight="false" outlineLevel="0" collapsed="false">
      <c r="A19" s="4" t="n">
        <v>15</v>
      </c>
      <c r="B19" s="4" t="n">
        <v>1135.4</v>
      </c>
      <c r="C19" s="4" t="n">
        <v>205.5622</v>
      </c>
      <c r="D19" s="4" t="n">
        <v>5</v>
      </c>
      <c r="E19" s="5" t="n">
        <f aca="false">(B19-B$3)/SQRT(C19^2/D19+C$3^2/D$3)</f>
        <v>-0.356712546275846</v>
      </c>
      <c r="G19" s="4" t="n">
        <v>0</v>
      </c>
      <c r="H19" s="4" t="n">
        <v>0</v>
      </c>
      <c r="I19" s="4" t="n">
        <v>5</v>
      </c>
      <c r="J19" s="5" t="n">
        <f aca="false">(G19-G$3)/SQRT(H19^2/I19+H$3^2/I$3)</f>
        <v>-3.47364414438486</v>
      </c>
      <c r="L19" s="4" t="n">
        <v>0</v>
      </c>
      <c r="M19" s="4" t="n">
        <v>0</v>
      </c>
      <c r="N19" s="4" t="n">
        <v>5</v>
      </c>
      <c r="O19" s="5" t="n">
        <f aca="false">(L19-L$3)/SQRT(M19^2/N19+M$3^2/N$3)</f>
        <v>-9.55243968340947</v>
      </c>
      <c r="Q19" s="4" t="n">
        <v>264.4</v>
      </c>
      <c r="R19" s="4" t="n">
        <v>182.5015</v>
      </c>
      <c r="S19" s="4" t="n">
        <v>5</v>
      </c>
      <c r="T19" s="5" t="n">
        <f aca="false">(Q19-Q$3)/SQRT(R19^2/S19+R$3^2/S$3)</f>
        <v>0.989550122326467</v>
      </c>
      <c r="V19" s="4" t="n">
        <v>40.2</v>
      </c>
      <c r="W19" s="4" t="n">
        <v>48.1685</v>
      </c>
      <c r="X19" s="4" t="n">
        <v>5</v>
      </c>
      <c r="Y19" s="5" t="n">
        <f aca="false">(V19-V$3)/SQRT(W19^2/X19+W$3^2/X$3)</f>
        <v>-0.726488459569153</v>
      </c>
      <c r="AA19" s="4" t="n">
        <f aca="false">V19+Q19+L19+G19+B19</f>
        <v>1440</v>
      </c>
    </row>
    <row r="20" customFormat="false" ht="12.75" hidden="false" customHeight="false" outlineLevel="0" collapsed="false">
      <c r="A20" s="4" t="n">
        <v>16</v>
      </c>
      <c r="B20" s="4" t="n">
        <v>1120</v>
      </c>
      <c r="C20" s="4" t="n">
        <v>308.8106</v>
      </c>
      <c r="D20" s="4" t="n">
        <v>3</v>
      </c>
      <c r="E20" s="5" t="n">
        <f aca="false">(B20-B$3)/SQRT(C20^2/D20+C$3^2/D$3)</f>
        <v>-0.271077264799046</v>
      </c>
      <c r="G20" s="4" t="n">
        <v>181.6667</v>
      </c>
      <c r="H20" s="4" t="n">
        <v>314.6559</v>
      </c>
      <c r="I20" s="4" t="n">
        <v>3</v>
      </c>
      <c r="J20" s="5" t="n">
        <f aca="false">(G20-G$3)/SQRT(H20^2/I20+H$3^2/I$3)</f>
        <v>0.926390243412793</v>
      </c>
      <c r="L20" s="4" t="n">
        <v>17</v>
      </c>
      <c r="M20" s="4" t="n">
        <v>14.7309</v>
      </c>
      <c r="N20" s="4" t="n">
        <v>3</v>
      </c>
      <c r="O20" s="5" t="n">
        <f aca="false">(L20-L$3)/SQRT(M20^2/N20+M$3^2/N$3)</f>
        <v>-0.250011363190058</v>
      </c>
      <c r="Q20" s="4" t="n">
        <v>64.3333</v>
      </c>
      <c r="R20" s="4" t="n">
        <v>79.3494</v>
      </c>
      <c r="S20" s="4" t="n">
        <v>3</v>
      </c>
      <c r="T20" s="5" t="n">
        <f aca="false">(Q20-Q$3)/SQRT(R20^2/S20+R$3^2/S$3)</f>
        <v>-2.53305261086256</v>
      </c>
      <c r="V20" s="4" t="n">
        <v>57</v>
      </c>
      <c r="W20" s="4" t="n">
        <v>41.5812</v>
      </c>
      <c r="X20" s="4" t="n">
        <v>3</v>
      </c>
      <c r="Y20" s="5" t="n">
        <f aca="false">(V20-V$3)/SQRT(W20^2/X20+W$3^2/X$3)</f>
        <v>0.0407312805778036</v>
      </c>
      <c r="AA20" s="4" t="n">
        <f aca="false">V20+Q20+L20+G20+B20</f>
        <v>1440</v>
      </c>
    </row>
    <row r="21" customFormat="false" ht="12.75" hidden="false" customHeight="false" outlineLevel="0" collapsed="false">
      <c r="A21" s="4" t="n">
        <v>17</v>
      </c>
      <c r="B21" s="4" t="n">
        <v>1091.3043</v>
      </c>
      <c r="C21" s="4" t="n">
        <v>318.4754</v>
      </c>
      <c r="D21" s="4" t="n">
        <v>23</v>
      </c>
      <c r="E21" s="5" t="n">
        <f aca="false">(B21-B$3)/SQRT(C21^2/D21+C$3^2/D$3)</f>
        <v>-1.14606931018334</v>
      </c>
      <c r="G21" s="4" t="n">
        <v>11.9565</v>
      </c>
      <c r="H21" s="4" t="n">
        <v>57.3415</v>
      </c>
      <c r="I21" s="4" t="n">
        <v>23</v>
      </c>
      <c r="J21" s="5" t="n">
        <f aca="false">(G21-G$3)/SQRT(H21^2/I21+H$3^2/I$3)</f>
        <v>-0.109765408210425</v>
      </c>
      <c r="L21" s="4" t="n">
        <v>11.7391</v>
      </c>
      <c r="M21" s="4" t="n">
        <v>23.8656</v>
      </c>
      <c r="N21" s="4" t="n">
        <v>23</v>
      </c>
      <c r="O21" s="5" t="n">
        <f aca="false">(L21-L$3)/SQRT(M21^2/N21+M$3^2/N$3)</f>
        <v>-1.38748901180546</v>
      </c>
      <c r="Q21" s="4" t="n">
        <v>278.7391</v>
      </c>
      <c r="R21" s="4" t="n">
        <v>318.4397</v>
      </c>
      <c r="S21" s="4" t="n">
        <v>23</v>
      </c>
      <c r="T21" s="5" t="n">
        <f aca="false">(Q21-Q$3)/SQRT(R21^2/S21+R$3^2/S$3)</f>
        <v>1.42548167307774</v>
      </c>
      <c r="V21" s="4" t="n">
        <v>46.2609</v>
      </c>
      <c r="W21" s="4" t="n">
        <v>33.7211</v>
      </c>
      <c r="X21" s="4" t="n">
        <v>23</v>
      </c>
      <c r="Y21" s="5" t="n">
        <f aca="false">(V21-V$3)/SQRT(W21^2/X21+W$3^2/X$3)</f>
        <v>-1.26730115320577</v>
      </c>
      <c r="AA21" s="4" t="n">
        <f aca="false">V21+Q21+L21+G21+B21</f>
        <v>1439.9999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1875" defaultRowHeight="12.75" customHeight="false" zeroHeight="false" outlineLevelRow="0" outlineLevelCol="0"/>
  <sheetData>
    <row r="1" customFormat="false" ht="12.75" hidden="false" customHeight="false" outlineLevel="0" collapsed="false">
      <c r="B1" s="0" t="s">
        <v>14</v>
      </c>
      <c r="E1" s="5"/>
      <c r="G1" s="0" t="s">
        <v>41</v>
      </c>
      <c r="J1" s="5"/>
      <c r="L1" s="0" t="s">
        <v>38</v>
      </c>
      <c r="O1" s="5"/>
      <c r="Q1" s="0" t="s">
        <v>42</v>
      </c>
      <c r="T1" s="5"/>
      <c r="V1" s="0" t="s">
        <v>43</v>
      </c>
      <c r="Y1" s="5"/>
      <c r="Z1" s="5"/>
      <c r="AA1" s="4" t="s">
        <v>44</v>
      </c>
    </row>
    <row r="2" customFormat="false" ht="12.75" hidden="false" customHeight="false" outlineLevel="0" collapsed="false">
      <c r="B2" s="0" t="s">
        <v>5</v>
      </c>
      <c r="C2" s="0" t="s">
        <v>6</v>
      </c>
      <c r="D2" s="0" t="s">
        <v>7</v>
      </c>
      <c r="E2" s="5" t="s">
        <v>45</v>
      </c>
      <c r="G2" s="0" t="s">
        <v>5</v>
      </c>
      <c r="H2" s="0" t="s">
        <v>6</v>
      </c>
      <c r="I2" s="0" t="s">
        <v>7</v>
      </c>
      <c r="J2" s="5" t="s">
        <v>45</v>
      </c>
      <c r="L2" s="0" t="s">
        <v>5</v>
      </c>
      <c r="M2" s="0" t="s">
        <v>6</v>
      </c>
      <c r="N2" s="0" t="s">
        <v>7</v>
      </c>
      <c r="O2" s="5" t="s">
        <v>45</v>
      </c>
      <c r="Q2" s="0" t="s">
        <v>5</v>
      </c>
      <c r="R2" s="0" t="s">
        <v>6</v>
      </c>
      <c r="S2" s="0" t="s">
        <v>7</v>
      </c>
      <c r="T2" s="5" t="s">
        <v>45</v>
      </c>
      <c r="V2" s="0" t="s">
        <v>5</v>
      </c>
      <c r="W2" s="0" t="s">
        <v>6</v>
      </c>
      <c r="X2" s="0" t="s">
        <v>7</v>
      </c>
      <c r="Y2" s="5" t="s">
        <v>45</v>
      </c>
      <c r="Z2" s="5"/>
      <c r="AA2" s="4"/>
    </row>
    <row r="3" customFormat="false" ht="12.75" hidden="false" customHeight="false" outlineLevel="0" collapsed="false">
      <c r="A3" s="4" t="s">
        <v>15</v>
      </c>
      <c r="B3" s="4" t="n">
        <v>923.2232</v>
      </c>
      <c r="C3" s="4" t="n">
        <v>252.6334</v>
      </c>
      <c r="D3" s="4" t="n">
        <v>3656</v>
      </c>
      <c r="E3" s="5"/>
      <c r="G3" s="4" t="n">
        <v>336.0845</v>
      </c>
      <c r="H3" s="4" t="n">
        <v>276.2167</v>
      </c>
      <c r="I3" s="4" t="n">
        <v>3656</v>
      </c>
      <c r="J3" s="5"/>
      <c r="L3" s="4" t="n">
        <v>13.922</v>
      </c>
      <c r="M3" s="4" t="n">
        <v>46.1658</v>
      </c>
      <c r="N3" s="4" t="n">
        <v>3656</v>
      </c>
      <c r="O3" s="5"/>
      <c r="Q3" s="4" t="n">
        <v>97.4352</v>
      </c>
      <c r="R3" s="4" t="n">
        <v>150.9923</v>
      </c>
      <c r="S3" s="4" t="n">
        <v>3656</v>
      </c>
      <c r="T3" s="5"/>
      <c r="V3" s="4" t="n">
        <v>69.3351</v>
      </c>
      <c r="W3" s="4" t="n">
        <v>65.0494</v>
      </c>
      <c r="X3" s="4" t="n">
        <v>3656</v>
      </c>
      <c r="Y3" s="5"/>
      <c r="Z3" s="5"/>
      <c r="AA3" s="4" t="e">
        <f aca="false">V3+Q3+#REF!+G3+B3</f>
        <v>#REF!</v>
      </c>
    </row>
    <row r="4" customFormat="false" ht="12.75" hidden="false" customHeight="false" outlineLevel="0" collapsed="false">
      <c r="A4" s="4" t="s">
        <v>16</v>
      </c>
      <c r="B4" s="4"/>
      <c r="C4" s="4"/>
      <c r="D4" s="4"/>
      <c r="E4" s="5"/>
      <c r="G4" s="4"/>
      <c r="H4" s="4"/>
      <c r="I4" s="4"/>
      <c r="J4" s="5"/>
      <c r="L4" s="0" t="s">
        <v>20</v>
      </c>
      <c r="M4" s="4"/>
      <c r="N4" s="4"/>
      <c r="O4" s="5"/>
      <c r="Q4" s="4"/>
      <c r="R4" s="4"/>
      <c r="S4" s="4"/>
      <c r="T4" s="5"/>
      <c r="V4" s="4"/>
      <c r="W4" s="4"/>
      <c r="X4" s="4"/>
      <c r="Y4" s="5"/>
      <c r="Z4" s="5"/>
      <c r="AA4" s="4"/>
    </row>
    <row r="5" customFormat="false" ht="12.75" hidden="false" customHeight="false" outlineLevel="0" collapsed="false">
      <c r="A5" s="0" t="n">
        <v>1</v>
      </c>
      <c r="B5" s="4" t="n">
        <v>988.5385</v>
      </c>
      <c r="C5" s="4" t="n">
        <v>251.2787</v>
      </c>
      <c r="D5" s="4" t="n">
        <v>26</v>
      </c>
      <c r="E5" s="5" t="n">
        <f aca="false">(B5-B$3)/SQRT(C5^2/D5+C$3^2/D$3)</f>
        <v>1.32065855052303</v>
      </c>
      <c r="G5" s="4" t="n">
        <v>317.9615</v>
      </c>
      <c r="H5" s="4" t="n">
        <v>288.2867</v>
      </c>
      <c r="I5" s="4" t="n">
        <v>26</v>
      </c>
      <c r="J5" s="5" t="n">
        <f aca="false">(G5-G$3)/SQRT(H5^2/I5+H$3^2/I$3)</f>
        <v>-0.319506063916898</v>
      </c>
      <c r="L5" s="4" t="n">
        <v>4.6154</v>
      </c>
      <c r="M5" s="4" t="n">
        <v>17.2002</v>
      </c>
      <c r="N5" s="4" t="n">
        <v>26</v>
      </c>
      <c r="O5" s="5" t="n">
        <f aca="false">(L5-L$3)/SQRT(M5^2/N5+M$3^2/N$3)</f>
        <v>-2.69088383129408</v>
      </c>
      <c r="Q5" s="4" t="n">
        <v>76.2308</v>
      </c>
      <c r="R5" s="4" t="n">
        <v>111.7427</v>
      </c>
      <c r="S5" s="4" t="n">
        <v>26</v>
      </c>
      <c r="T5" s="5" t="n">
        <f aca="false">(Q5-Q$3)/SQRT(R5^2/S5+R$3^2/S$3)</f>
        <v>-0.96137321182423</v>
      </c>
      <c r="V5" s="4" t="n">
        <v>52.6538</v>
      </c>
      <c r="W5" s="4" t="n">
        <v>44.5448</v>
      </c>
      <c r="X5" s="4" t="n">
        <v>26.0009765625</v>
      </c>
      <c r="Y5" s="5" t="e">
        <f aca="false"/>
        <v>#N/A</v>
      </c>
      <c r="Z5" s="5"/>
      <c r="AA5" s="4" t="e">
        <f aca="false">V5+Q5+#REF!+G5+B5</f>
        <v>#REF!</v>
      </c>
    </row>
    <row r="6" customFormat="false" ht="12.75" hidden="false" customHeight="false" outlineLevel="0" collapsed="false">
      <c r="A6" s="0" t="n">
        <v>2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1998-11-05T03:57:23Z</dcterms:created>
  <dc:creator>David M. Levinson</dc:creator>
  <dc:description/>
  <dc:language>en-AU</dc:language>
  <cp:lastModifiedBy>David Levinson</cp:lastModifiedBy>
  <cp:revision>0</cp:revision>
  <dc:subject/>
  <dc:title>Money Space and the Allocation of Time</dc:title>
</cp:coreProperties>
</file>