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t Results" sheetId="1" state="visible" r:id="rId3"/>
    <sheet name="ACTIVITX.OU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<sst xmlns="http://schemas.openxmlformats.org/spreadsheetml/2006/main" count="147" uniqueCount="110">
  <si>
    <t xml:space="preserve">Table:</t>
  </si>
  <si>
    <t xml:space="preserve">Weekday Duration Choice, Adults 18-65 pursuing all four primary activities (home, work, shop, other)</t>
  </si>
  <si>
    <t xml:space="preserve">HOME</t>
  </si>
  <si>
    <t xml:space="preserve">SHOP</t>
  </si>
  <si>
    <t xml:space="preserve">OTHER</t>
  </si>
  <si>
    <t xml:space="preserve">Variable</t>
  </si>
  <si>
    <t xml:space="preserve">Estimate</t>
  </si>
  <si>
    <t xml:space="preserve">Std. Error</t>
  </si>
  <si>
    <t xml:space="preserve">"T" Ratio</t>
  </si>
  <si>
    <t xml:space="preserve">const [1]</t>
  </si>
  <si>
    <t xml:space="preserve">male [1,0]</t>
  </si>
  <si>
    <t xml:space="preserve">age [N]</t>
  </si>
  <si>
    <t xml:space="preserve">Residential Density class [1-13]</t>
  </si>
  <si>
    <t xml:space="preserve">Northeast [1,0]</t>
  </si>
  <si>
    <t xml:space="preserve">Southcent [1,0]</t>
  </si>
  <si>
    <t xml:space="preserve">West[1,0]</t>
  </si>
  <si>
    <t xml:space="preserve">1990 Metro Pop [N]</t>
  </si>
  <si>
    <t xml:space="preserve">Household Income [N]</t>
  </si>
  <si>
    <t xml:space="preserve">Winter [1,0]</t>
  </si>
  <si>
    <t xml:space="preserve">Spring [1,0]</t>
  </si>
  <si>
    <t xml:space="preserve">Summer [1,0]</t>
  </si>
  <si>
    <t xml:space="preserve">Single [1,0]</t>
  </si>
  <si>
    <t xml:space="preserve">Childless [1,0]</t>
  </si>
  <si>
    <t xml:space="preserve">Youngest Child 0-6 [1,0]</t>
  </si>
  <si>
    <t xml:space="preserve">Youngest Child 7-15 [1,0]</t>
  </si>
  <si>
    <t xml:space="preserve">Activity Frequency [1-N]</t>
  </si>
  <si>
    <t xml:space="preserve">Note: Work utility forced = 0</t>
  </si>
  <si>
    <t xml:space="preserve">Summary Statistics</t>
  </si>
  <si>
    <t xml:space="preserve">Value</t>
  </si>
  <si>
    <t xml:space="preserve">N</t>
  </si>
  <si>
    <t xml:space="preserve">Likelihood with zero coefficients</t>
  </si>
  <si>
    <t xml:space="preserve">Likelihood with constants only</t>
  </si>
  <si>
    <t xml:space="preserve">Final value of likelihood</t>
  </si>
  <si>
    <t xml:space="preserve">Rho-Squared w.r.t. Zero</t>
  </si>
  <si>
    <t xml:space="preserve">Rho-Squared w.r.t. Constants</t>
  </si>
  <si>
    <t xml:space="preserve">Convergenc</t>
  </si>
  <si>
    <t xml:space="preserve">e achieved</t>
  </si>
  <si>
    <t xml:space="preserve">after   6 i</t>
  </si>
  <si>
    <t xml:space="preserve">terations</t>
  </si>
  <si>
    <t xml:space="preserve">Analysis i</t>
  </si>
  <si>
    <t xml:space="preserve">s based on</t>
  </si>
  <si>
    <t xml:space="preserve">752 obser</t>
  </si>
  <si>
    <t xml:space="preserve">vations</t>
  </si>
  <si>
    <t xml:space="preserve">Likelihood</t>
  </si>
  <si>
    <t xml:space="preserve">with Zero</t>
  </si>
  <si>
    <t xml:space="preserve">Coefficient</t>
  </si>
  <si>
    <t xml:space="preserve">with Const</t>
  </si>
  <si>
    <t xml:space="preserve">ants only</t>
  </si>
  <si>
    <t xml:space="preserve">Initial Li</t>
  </si>
  <si>
    <t xml:space="preserve">kelihood</t>
  </si>
  <si>
    <t xml:space="preserve">Final valu</t>
  </si>
  <si>
    <t xml:space="preserve">e of Likeli</t>
  </si>
  <si>
    <t xml:space="preserve">hood</t>
  </si>
  <si>
    <t xml:space="preserve">"Rho-Sq</t>
  </si>
  <si>
    <t xml:space="preserve">uared" w.r.</t>
  </si>
  <si>
    <t xml:space="preserve">t. Zero</t>
  </si>
  <si>
    <t xml:space="preserve">t. Constant</t>
  </si>
  <si>
    <t xml:space="preserve">ESTIMATES</t>
  </si>
  <si>
    <t xml:space="preserve">OBTAINED AT</t>
  </si>
  <si>
    <t xml:space="preserve">ITERATION</t>
  </si>
  <si>
    <t xml:space="preserve">const1</t>
  </si>
  <si>
    <t xml:space="preserve">const3</t>
  </si>
  <si>
    <t xml:space="preserve">const4</t>
  </si>
  <si>
    <t xml:space="preserve">male4</t>
  </si>
  <si>
    <t xml:space="preserve">age4</t>
  </si>
  <si>
    <t xml:space="preserve">density4</t>
  </si>
  <si>
    <t xml:space="preserve">northeast4</t>
  </si>
  <si>
    <t xml:space="preserve">southcent4</t>
  </si>
  <si>
    <t xml:space="preserve">west4</t>
  </si>
  <si>
    <t xml:space="preserve">pop90x4</t>
  </si>
  <si>
    <t xml:space="preserve">hhinc4</t>
  </si>
  <si>
    <t xml:space="preserve">winter4</t>
  </si>
  <si>
    <t xml:space="preserve">spring4</t>
  </si>
  <si>
    <t xml:space="preserve">summer4</t>
  </si>
  <si>
    <t xml:space="preserve">single4</t>
  </si>
  <si>
    <t xml:space="preserve">childles4</t>
  </si>
  <si>
    <t xml:space="preserve">ychi06 4</t>
  </si>
  <si>
    <t xml:space="preserve">ychi15 4</t>
  </si>
  <si>
    <t xml:space="preserve">nstops4</t>
  </si>
  <si>
    <t xml:space="preserve">male3</t>
  </si>
  <si>
    <t xml:space="preserve">age3</t>
  </si>
  <si>
    <t xml:space="preserve">density3</t>
  </si>
  <si>
    <t xml:space="preserve">northeast3</t>
  </si>
  <si>
    <t xml:space="preserve">southcent3</t>
  </si>
  <si>
    <t xml:space="preserve">west3</t>
  </si>
  <si>
    <t xml:space="preserve">pop90x3</t>
  </si>
  <si>
    <t xml:space="preserve">hhinc3</t>
  </si>
  <si>
    <t xml:space="preserve">winter3</t>
  </si>
  <si>
    <t xml:space="preserve">spring3</t>
  </si>
  <si>
    <t xml:space="preserve">summer3</t>
  </si>
  <si>
    <t xml:space="preserve">single3</t>
  </si>
  <si>
    <t xml:space="preserve">childles3</t>
  </si>
  <si>
    <t xml:space="preserve">ychi06 3</t>
  </si>
  <si>
    <t xml:space="preserve">ychi15 3</t>
  </si>
  <si>
    <t xml:space="preserve">nstops3</t>
  </si>
  <si>
    <t xml:space="preserve">male1</t>
  </si>
  <si>
    <t xml:space="preserve">age1</t>
  </si>
  <si>
    <t xml:space="preserve">northeast1</t>
  </si>
  <si>
    <t xml:space="preserve">southcent1</t>
  </si>
  <si>
    <t xml:space="preserve">west1</t>
  </si>
  <si>
    <t xml:space="preserve">pop90x1</t>
  </si>
  <si>
    <t xml:space="preserve">hhinc1</t>
  </si>
  <si>
    <t xml:space="preserve">winter1</t>
  </si>
  <si>
    <t xml:space="preserve">spring1</t>
  </si>
  <si>
    <t xml:space="preserve">summer1</t>
  </si>
  <si>
    <t xml:space="preserve">single1</t>
  </si>
  <si>
    <t xml:space="preserve">childles1</t>
  </si>
  <si>
    <t xml:space="preserve">ychi06 1</t>
  </si>
  <si>
    <t xml:space="preserve">ychi15 1</t>
  </si>
  <si>
    <t xml:space="preserve">nstops1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</si>
</sst>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Geneva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Geneva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4.65" customHeight="false" zeroHeight="false" outlineLevelRow="0" outlineLevelCol="0"/>
  <cols>
    <col collapsed="false" customWidth="true" hidden="false" outlineLevel="0" max="1" min="1" style="0" width="23.56"/>
    <col collapsed="false" customWidth="true" hidden="false" outlineLevel="0" max="2" min="2" style="0" width="2.85"/>
    <col collapsed="false" customWidth="true" hidden="false" outlineLevel="0" max="4" min="3" style="0" width="9.57"/>
    <col collapsed="false" customWidth="true" hidden="false" outlineLevel="0" max="5" min="5" style="0" width="8.56"/>
    <col collapsed="false" customWidth="true" hidden="false" outlineLevel="0" max="6" min="6" style="0" width="1.71"/>
    <col collapsed="false" customWidth="true" hidden="false" outlineLevel="0" max="7" min="7" style="0" width="9.28"/>
    <col collapsed="false" customWidth="true" hidden="false" outlineLevel="0" max="8" min="8" style="0" width="9.57"/>
    <col collapsed="false" customWidth="true" hidden="false" outlineLevel="0" max="9" min="9" style="0" width="8.56"/>
    <col collapsed="false" customWidth="true" hidden="false" outlineLevel="0" max="10" min="10" style="0" width="3.56"/>
    <col collapsed="false" customWidth="true" hidden="false" outlineLevel="0" max="11" min="11" style="0" width="9.28"/>
    <col collapsed="false" customWidth="true" hidden="false" outlineLevel="0" max="12" min="12" style="0" width="9.57"/>
    <col collapsed="false" customWidth="true" hidden="false" outlineLevel="0" max="13" min="13" style="0" width="8.56"/>
  </cols>
  <sheetData>
    <row r="1" customFormat="false" ht="14.65" hidden="false" customHeight="false" outlineLevel="0" collapsed="false">
      <c r="A1" s="0" t="s">
        <v>0</v>
      </c>
    </row>
    <row r="2" customFormat="false" ht="14.65" hidden="false" customHeight="false" outlineLevel="0" collapsed="false">
      <c r="A2" s="0" t="s">
        <v>1</v>
      </c>
    </row>
    <row r="4" customFormat="false" ht="14.65" hidden="false" customHeight="false" outlineLevel="0" collapsed="false">
      <c r="A4" s="1"/>
      <c r="B4" s="1"/>
      <c r="C4" s="1" t="s">
        <v>2</v>
      </c>
      <c r="D4" s="1"/>
      <c r="E4" s="1"/>
      <c r="F4" s="1"/>
      <c r="G4" s="1" t="s">
        <v>3</v>
      </c>
      <c r="H4" s="1"/>
      <c r="I4" s="1"/>
      <c r="J4" s="1"/>
      <c r="K4" s="1" t="s">
        <v>4</v>
      </c>
      <c r="L4" s="1"/>
      <c r="M4" s="1"/>
    </row>
    <row r="5" customFormat="false" ht="14.65" hidden="false" customHeight="false" outlineLevel="0" collapsed="false">
      <c r="A5" s="2" t="s">
        <v>5</v>
      </c>
      <c r="B5" s="2"/>
      <c r="C5" s="2" t="s">
        <v>6</v>
      </c>
      <c r="D5" s="2" t="s">
        <v>7</v>
      </c>
      <c r="E5" s="2" t="s">
        <v>8</v>
      </c>
      <c r="F5" s="2"/>
      <c r="G5" s="2" t="s">
        <v>6</v>
      </c>
      <c r="H5" s="2" t="s">
        <v>7</v>
      </c>
      <c r="I5" s="2" t="s">
        <v>8</v>
      </c>
      <c r="J5" s="2"/>
      <c r="K5" s="2" t="s">
        <v>6</v>
      </c>
      <c r="L5" s="2" t="s">
        <v>7</v>
      </c>
      <c r="M5" s="2" t="s">
        <v>8</v>
      </c>
    </row>
    <row r="6" customFormat="false" ht="14.65" hidden="false" customHeight="false" outlineLevel="0" collapsed="false">
      <c r="A6" s="3" t="s">
        <v>9</v>
      </c>
      <c r="B6" s="3"/>
      <c r="C6" s="3" t="n">
        <v>0.8508</v>
      </c>
      <c r="D6" s="4" t="n">
        <v>0.03</v>
      </c>
      <c r="E6" s="3" t="n">
        <v>28.4</v>
      </c>
      <c r="F6" s="3"/>
      <c r="G6" s="3" t="n">
        <v>-2.258</v>
      </c>
      <c r="H6" s="4" t="n">
        <v>0.0771</v>
      </c>
      <c r="I6" s="3" t="n">
        <v>-29.3</v>
      </c>
      <c r="J6" s="3"/>
      <c r="K6" s="3" t="n">
        <v>-1.488</v>
      </c>
      <c r="L6" s="4" t="n">
        <v>0.0534</v>
      </c>
      <c r="M6" s="3" t="n">
        <v>-27.9</v>
      </c>
    </row>
    <row r="7" customFormat="false" ht="14.65" hidden="false" customHeight="false" outlineLevel="0" collapsed="false">
      <c r="A7" s="3"/>
      <c r="B7" s="3"/>
      <c r="C7" s="3"/>
      <c r="D7" s="4"/>
      <c r="E7" s="3"/>
      <c r="F7" s="3"/>
      <c r="G7" s="3"/>
      <c r="H7" s="4"/>
      <c r="I7" s="3"/>
      <c r="J7" s="3"/>
      <c r="K7" s="3"/>
      <c r="L7" s="3"/>
      <c r="M7" s="3"/>
    </row>
    <row r="8" customFormat="false" ht="14.65" hidden="false" customHeight="false" outlineLevel="0" collapsed="false">
      <c r="A8" s="3" t="s">
        <v>10</v>
      </c>
      <c r="B8" s="3"/>
      <c r="C8" s="3" t="n">
        <v>-0.2735</v>
      </c>
      <c r="D8" s="4" t="n">
        <v>0.00898</v>
      </c>
      <c r="E8" s="3" t="n">
        <v>-30.5</v>
      </c>
      <c r="F8" s="3"/>
      <c r="G8" s="3" t="n">
        <v>-0.2578</v>
      </c>
      <c r="H8" s="4" t="n">
        <v>0.0225</v>
      </c>
      <c r="I8" s="3" t="n">
        <v>-11.5</v>
      </c>
      <c r="J8" s="3"/>
      <c r="K8" s="4" t="n">
        <v>0.06829</v>
      </c>
      <c r="L8" s="4" t="n">
        <v>0.0156</v>
      </c>
      <c r="M8" s="3" t="n">
        <v>4.4</v>
      </c>
    </row>
    <row r="9" customFormat="false" ht="14.65" hidden="false" customHeight="false" outlineLevel="0" collapsed="false">
      <c r="A9" s="3" t="s">
        <v>11</v>
      </c>
      <c r="B9" s="3"/>
      <c r="C9" s="4" t="n">
        <v>0.000374</v>
      </c>
      <c r="D9" s="4" t="n">
        <v>0.000438</v>
      </c>
      <c r="E9" s="3" t="n">
        <v>0.9</v>
      </c>
      <c r="F9" s="3"/>
      <c r="G9" s="4" t="n">
        <v>-0.00148</v>
      </c>
      <c r="H9" s="4" t="n">
        <v>0.00103</v>
      </c>
      <c r="I9" s="3" t="n">
        <v>-1.4</v>
      </c>
      <c r="J9" s="3"/>
      <c r="K9" s="4" t="n">
        <v>-0.002276</v>
      </c>
      <c r="L9" s="4" t="n">
        <v>0.000741</v>
      </c>
      <c r="M9" s="3" t="n">
        <v>-3.1</v>
      </c>
    </row>
    <row r="10" customFormat="false" ht="14.65" hidden="false" customHeight="false" outlineLevel="0" collapsed="false">
      <c r="A10" s="3"/>
      <c r="B10" s="3"/>
      <c r="C10" s="4"/>
      <c r="D10" s="4"/>
      <c r="E10" s="3"/>
      <c r="F10" s="3"/>
      <c r="G10" s="4"/>
      <c r="H10" s="4"/>
      <c r="I10" s="3"/>
      <c r="J10" s="3"/>
      <c r="K10" s="4"/>
      <c r="L10" s="4"/>
      <c r="M10" s="3"/>
    </row>
    <row r="11" customFormat="false" ht="14.65" hidden="false" customHeight="false" outlineLevel="0" collapsed="false">
      <c r="A11" s="3" t="s">
        <v>12</v>
      </c>
      <c r="B11" s="3"/>
      <c r="C11" s="3"/>
      <c r="D11" s="3"/>
      <c r="E11" s="3"/>
      <c r="F11" s="3"/>
      <c r="G11" s="4" t="n">
        <v>-0.01433</v>
      </c>
      <c r="H11" s="4" t="n">
        <v>0.0044</v>
      </c>
      <c r="I11" s="3" t="n">
        <v>-3.3</v>
      </c>
      <c r="J11" s="3"/>
      <c r="K11" s="4" t="n">
        <v>0.01962</v>
      </c>
      <c r="L11" s="4" t="n">
        <v>0.00305</v>
      </c>
      <c r="M11" s="3" t="n">
        <v>6.4</v>
      </c>
    </row>
    <row r="12" customFormat="false" ht="14.65" hidden="false" customHeight="false" outlineLevel="0" collapsed="false">
      <c r="A12" s="3"/>
      <c r="B12" s="3"/>
      <c r="C12" s="3"/>
      <c r="D12" s="3"/>
      <c r="E12" s="3"/>
      <c r="F12" s="3"/>
      <c r="G12" s="4"/>
      <c r="H12" s="4"/>
      <c r="I12" s="3"/>
      <c r="J12" s="3"/>
      <c r="K12" s="4"/>
      <c r="L12" s="4"/>
      <c r="M12" s="3"/>
    </row>
    <row r="13" customFormat="false" ht="14.65" hidden="false" customHeight="false" outlineLevel="0" collapsed="false">
      <c r="A13" s="3" t="s">
        <v>13</v>
      </c>
      <c r="B13" s="3"/>
      <c r="C13" s="4" t="n">
        <v>-0.01223</v>
      </c>
      <c r="D13" s="4" t="n">
        <v>0.0139</v>
      </c>
      <c r="E13" s="3" t="n">
        <v>-0.9</v>
      </c>
      <c r="F13" s="3"/>
      <c r="G13" s="3" t="n">
        <v>0.2035</v>
      </c>
      <c r="H13" s="4" t="n">
        <v>0.033</v>
      </c>
      <c r="I13" s="3" t="n">
        <v>6.2</v>
      </c>
      <c r="J13" s="3"/>
      <c r="K13" s="3" t="n">
        <v>-0.5096</v>
      </c>
      <c r="L13" s="4" t="n">
        <v>0.023</v>
      </c>
      <c r="M13" s="3" t="n">
        <v>-22.1</v>
      </c>
    </row>
    <row r="14" customFormat="false" ht="14.65" hidden="false" customHeight="false" outlineLevel="0" collapsed="false">
      <c r="A14" s="3" t="s">
        <v>14</v>
      </c>
      <c r="B14" s="3"/>
      <c r="C14" s="3" t="n">
        <v>-0.2066</v>
      </c>
      <c r="D14" s="4" t="n">
        <v>0.0168</v>
      </c>
      <c r="E14" s="3" t="n">
        <v>-12.3</v>
      </c>
      <c r="F14" s="3"/>
      <c r="G14" s="3" t="n">
        <v>-0.4371</v>
      </c>
      <c r="H14" s="4" t="n">
        <v>0.0454</v>
      </c>
      <c r="I14" s="3" t="n">
        <v>-9.6</v>
      </c>
      <c r="J14" s="3"/>
      <c r="K14" s="3" t="n">
        <v>-0.3103</v>
      </c>
      <c r="L14" s="4" t="n">
        <v>0.0271</v>
      </c>
      <c r="M14" s="3" t="n">
        <v>-11.4</v>
      </c>
    </row>
    <row r="15" customFormat="false" ht="14.65" hidden="false" customHeight="false" outlineLevel="0" collapsed="false">
      <c r="A15" s="3" t="s">
        <v>15</v>
      </c>
      <c r="B15" s="3"/>
      <c r="C15" s="3" t="n">
        <v>-0.1556</v>
      </c>
      <c r="D15" s="4" t="n">
        <v>0.0144</v>
      </c>
      <c r="E15" s="3" t="n">
        <v>-10.8</v>
      </c>
      <c r="F15" s="3"/>
      <c r="G15" s="3" t="n">
        <v>-0.2397</v>
      </c>
      <c r="H15" s="4" t="n">
        <v>0.0359</v>
      </c>
      <c r="I15" s="3" t="n">
        <v>-6.7</v>
      </c>
      <c r="J15" s="3"/>
      <c r="K15" s="3" t="n">
        <v>-0.2654</v>
      </c>
      <c r="L15" s="4" t="n">
        <v>0.0232</v>
      </c>
      <c r="M15" s="3" t="n">
        <v>-11.5</v>
      </c>
    </row>
    <row r="16" customFormat="false" ht="14.65" hidden="false" customHeight="false" outlineLevel="0" collapsed="false">
      <c r="A16" s="3"/>
      <c r="B16" s="3"/>
      <c r="C16" s="3"/>
      <c r="D16" s="4"/>
      <c r="E16" s="3"/>
      <c r="F16" s="3"/>
      <c r="G16" s="3"/>
      <c r="H16" s="4"/>
      <c r="I16" s="3"/>
      <c r="J16" s="3"/>
      <c r="K16" s="3"/>
      <c r="L16" s="4"/>
      <c r="M16" s="3"/>
    </row>
    <row r="17" customFormat="false" ht="14.65" hidden="false" customHeight="false" outlineLevel="0" collapsed="false">
      <c r="A17" s="3" t="s">
        <v>16</v>
      </c>
      <c r="B17" s="3"/>
      <c r="C17" s="4" t="n">
        <v>6.996E-010</v>
      </c>
      <c r="D17" s="4" t="n">
        <v>7.64E-010</v>
      </c>
      <c r="E17" s="3" t="n">
        <v>0.9</v>
      </c>
      <c r="F17" s="3"/>
      <c r="G17" s="4" t="n">
        <v>-5.462E-009</v>
      </c>
      <c r="H17" s="4" t="n">
        <v>1.84E-009</v>
      </c>
      <c r="I17" s="3" t="n">
        <v>-3</v>
      </c>
      <c r="J17" s="3"/>
      <c r="K17" s="4" t="n">
        <v>1.549E-008</v>
      </c>
      <c r="L17" s="4" t="n">
        <v>1.39E-009</v>
      </c>
      <c r="M17" s="3" t="n">
        <v>11.1</v>
      </c>
    </row>
    <row r="18" customFormat="false" ht="14.65" hidden="false" customHeight="false" outlineLevel="0" collapsed="false">
      <c r="A18" s="3"/>
      <c r="B18" s="3"/>
      <c r="C18" s="4"/>
      <c r="D18" s="4"/>
      <c r="E18" s="3"/>
      <c r="F18" s="3"/>
      <c r="G18" s="4"/>
      <c r="H18" s="4"/>
      <c r="I18" s="3"/>
      <c r="J18" s="3"/>
      <c r="K18" s="4"/>
      <c r="L18" s="4"/>
      <c r="M18" s="3"/>
    </row>
    <row r="19" customFormat="false" ht="14.65" hidden="false" customHeight="false" outlineLevel="0" collapsed="false">
      <c r="A19" s="3" t="s">
        <v>17</v>
      </c>
      <c r="B19" s="3"/>
      <c r="C19" s="4" t="n">
        <v>0.0002799</v>
      </c>
      <c r="D19" s="4" t="n">
        <v>0.00117</v>
      </c>
      <c r="E19" s="3" t="n">
        <v>0.2</v>
      </c>
      <c r="F19" s="3"/>
      <c r="G19" s="4" t="n">
        <v>-0.01075</v>
      </c>
      <c r="H19" s="4" t="n">
        <v>0.00282</v>
      </c>
      <c r="I19" s="3" t="n">
        <v>-3.8</v>
      </c>
      <c r="J19" s="3"/>
      <c r="K19" s="4" t="n">
        <v>-0.00312</v>
      </c>
      <c r="L19" s="4" t="n">
        <v>0.00201</v>
      </c>
      <c r="M19" s="3" t="n">
        <v>-1.6</v>
      </c>
    </row>
    <row r="20" customFormat="false" ht="14.65" hidden="false" customHeight="false" outlineLevel="0" collapsed="false">
      <c r="A20" s="3"/>
      <c r="B20" s="3"/>
      <c r="C20" s="4"/>
      <c r="D20" s="4"/>
      <c r="E20" s="3"/>
      <c r="F20" s="3"/>
      <c r="G20" s="4"/>
      <c r="H20" s="4"/>
      <c r="I20" s="3"/>
      <c r="J20" s="3"/>
      <c r="K20" s="4"/>
      <c r="L20" s="4"/>
      <c r="M20" s="3"/>
    </row>
    <row r="21" customFormat="false" ht="14.65" hidden="false" customHeight="false" outlineLevel="0" collapsed="false">
      <c r="A21" s="3" t="s">
        <v>18</v>
      </c>
      <c r="B21" s="3"/>
      <c r="C21" s="4" t="n">
        <v>0.02757</v>
      </c>
      <c r="D21" s="4" t="n">
        <v>0.0137</v>
      </c>
      <c r="E21" s="3" t="n">
        <v>2</v>
      </c>
      <c r="F21" s="3"/>
      <c r="G21" s="4" t="n">
        <v>-0.003186</v>
      </c>
      <c r="H21" s="4" t="n">
        <v>0.0327</v>
      </c>
      <c r="I21" s="3" t="n">
        <v>-0.1</v>
      </c>
      <c r="J21" s="3"/>
      <c r="K21" s="3" t="n">
        <v>-0.184</v>
      </c>
      <c r="L21" s="4" t="n">
        <v>0.0226</v>
      </c>
      <c r="M21" s="3" t="n">
        <v>-8.1</v>
      </c>
    </row>
    <row r="22" customFormat="false" ht="14.65" hidden="false" customHeight="false" outlineLevel="0" collapsed="false">
      <c r="A22" s="3" t="s">
        <v>19</v>
      </c>
      <c r="B22" s="3"/>
      <c r="C22" s="4" t="n">
        <v>0.02707</v>
      </c>
      <c r="D22" s="4" t="n">
        <v>0.0131</v>
      </c>
      <c r="E22" s="3" t="n">
        <v>2.1</v>
      </c>
      <c r="F22" s="3"/>
      <c r="G22" s="4" t="n">
        <v>-0.0727</v>
      </c>
      <c r="H22" s="4" t="n">
        <v>0.0309</v>
      </c>
      <c r="I22" s="3" t="n">
        <v>-2.4</v>
      </c>
      <c r="J22" s="3"/>
      <c r="K22" s="3" t="n">
        <v>-0.2194</v>
      </c>
      <c r="L22" s="4" t="n">
        <v>0.0215</v>
      </c>
      <c r="M22" s="3" t="n">
        <v>-10.2</v>
      </c>
    </row>
    <row r="23" customFormat="false" ht="14.65" hidden="false" customHeight="false" outlineLevel="0" collapsed="false">
      <c r="A23" s="3" t="s">
        <v>20</v>
      </c>
      <c r="B23" s="3"/>
      <c r="C23" s="4" t="n">
        <v>0.04175</v>
      </c>
      <c r="D23" s="4" t="n">
        <v>0.0135</v>
      </c>
      <c r="E23" s="3" t="n">
        <v>3.1</v>
      </c>
      <c r="F23" s="3"/>
      <c r="G23" s="4" t="n">
        <v>-0.05605</v>
      </c>
      <c r="H23" s="4" t="n">
        <v>0.032</v>
      </c>
      <c r="I23" s="3" t="n">
        <v>-1.7</v>
      </c>
      <c r="J23" s="3"/>
      <c r="K23" s="3" t="n">
        <v>-0.1006</v>
      </c>
      <c r="L23" s="4" t="n">
        <v>0.0225</v>
      </c>
      <c r="M23" s="3" t="n">
        <v>-4.5</v>
      </c>
    </row>
    <row r="24" customFormat="false" ht="14.65" hidden="false" customHeight="false" outlineLevel="0" collapsed="false">
      <c r="A24" s="3"/>
      <c r="B24" s="3"/>
      <c r="C24" s="4"/>
      <c r="D24" s="4"/>
      <c r="E24" s="3"/>
      <c r="F24" s="3"/>
      <c r="G24" s="4"/>
      <c r="H24" s="4"/>
      <c r="I24" s="3"/>
      <c r="J24" s="3"/>
      <c r="K24" s="3"/>
      <c r="L24" s="4"/>
      <c r="M24" s="3"/>
    </row>
    <row r="25" customFormat="false" ht="14.65" hidden="false" customHeight="false" outlineLevel="0" collapsed="false">
      <c r="A25" s="3" t="s">
        <v>21</v>
      </c>
      <c r="B25" s="3"/>
      <c r="C25" s="4" t="n">
        <v>-0.09051</v>
      </c>
      <c r="D25" s="4" t="n">
        <v>0.00615</v>
      </c>
      <c r="E25" s="3" t="n">
        <v>-14.7</v>
      </c>
      <c r="F25" s="3"/>
      <c r="G25" s="4" t="n">
        <v>-0.02026</v>
      </c>
      <c r="H25" s="4" t="n">
        <v>0.0147</v>
      </c>
      <c r="I25" s="3" t="n">
        <v>-1.4</v>
      </c>
      <c r="J25" s="3"/>
      <c r="K25" s="4" t="n">
        <v>-0.08505</v>
      </c>
      <c r="L25" s="4" t="n">
        <v>0.0111</v>
      </c>
      <c r="M25" s="3" t="n">
        <v>-7.7</v>
      </c>
    </row>
    <row r="26" customFormat="false" ht="14.65" hidden="false" customHeight="false" outlineLevel="0" collapsed="false">
      <c r="A26" s="3" t="s">
        <v>22</v>
      </c>
      <c r="B26" s="3"/>
      <c r="C26" s="3" t="n">
        <v>-0.1074</v>
      </c>
      <c r="D26" s="4" t="n">
        <v>0.0151</v>
      </c>
      <c r="E26" s="3" t="n">
        <v>-7.1</v>
      </c>
      <c r="F26" s="3"/>
      <c r="G26" s="4" t="n">
        <v>-0.05725</v>
      </c>
      <c r="H26" s="4" t="n">
        <v>0.035</v>
      </c>
      <c r="I26" s="3" t="n">
        <v>-1.6</v>
      </c>
      <c r="J26" s="3"/>
      <c r="K26" s="3" t="n">
        <v>-0.1464</v>
      </c>
      <c r="L26" s="4" t="n">
        <v>0.0251</v>
      </c>
      <c r="M26" s="3" t="n">
        <v>-5.8</v>
      </c>
    </row>
    <row r="27" customFormat="false" ht="14.65" hidden="false" customHeight="false" outlineLevel="0" collapsed="false">
      <c r="A27" s="3" t="s">
        <v>23</v>
      </c>
      <c r="B27" s="3"/>
      <c r="C27" s="4" t="n">
        <v>-0.04638</v>
      </c>
      <c r="D27" s="4" t="n">
        <v>0.0172</v>
      </c>
      <c r="E27" s="3" t="n">
        <v>-2.7</v>
      </c>
      <c r="F27" s="3"/>
      <c r="G27" s="3" t="n">
        <v>-0.2239</v>
      </c>
      <c r="H27" s="4" t="n">
        <v>0.0403</v>
      </c>
      <c r="I27" s="3" t="n">
        <v>-5.6</v>
      </c>
      <c r="J27" s="3"/>
      <c r="K27" s="3" t="n">
        <v>-0.2994</v>
      </c>
      <c r="L27" s="4" t="n">
        <v>0.029</v>
      </c>
      <c r="M27" s="3" t="n">
        <v>-10.3</v>
      </c>
    </row>
    <row r="28" customFormat="false" ht="14.65" hidden="false" customHeight="false" outlineLevel="0" collapsed="false">
      <c r="A28" s="3" t="s">
        <v>24</v>
      </c>
      <c r="B28" s="3"/>
      <c r="C28" s="4" t="n">
        <v>-0.09175</v>
      </c>
      <c r="D28" s="4" t="n">
        <v>0.0165</v>
      </c>
      <c r="E28" s="3" t="n">
        <v>-5.5</v>
      </c>
      <c r="F28" s="3"/>
      <c r="G28" s="3" t="n">
        <v>-0.3084</v>
      </c>
      <c r="H28" s="4" t="n">
        <v>0.0395</v>
      </c>
      <c r="I28" s="3" t="n">
        <v>-7.8</v>
      </c>
      <c r="J28" s="3"/>
      <c r="K28" s="3" t="n">
        <v>-0.2801</v>
      </c>
      <c r="L28" s="4" t="n">
        <v>0.028</v>
      </c>
      <c r="M28" s="3" t="n">
        <v>-10</v>
      </c>
    </row>
    <row r="29" customFormat="false" ht="14.65" hidden="false" customHeight="false" outlineLevel="0" collapsed="false">
      <c r="A29" s="3"/>
      <c r="B29" s="3"/>
      <c r="C29" s="4"/>
      <c r="D29" s="4"/>
      <c r="E29" s="3"/>
      <c r="F29" s="3"/>
      <c r="G29" s="3"/>
      <c r="H29" s="4"/>
      <c r="I29" s="3"/>
      <c r="J29" s="3"/>
      <c r="K29" s="3"/>
      <c r="L29" s="4"/>
      <c r="M29" s="3"/>
    </row>
    <row r="30" customFormat="false" ht="14.65" hidden="false" customHeight="false" outlineLevel="0" collapsed="false">
      <c r="A30" s="5" t="s">
        <v>25</v>
      </c>
      <c r="B30" s="5"/>
      <c r="C30" s="6" t="n">
        <v>-0.007354</v>
      </c>
      <c r="D30" s="6" t="n">
        <v>0.00439</v>
      </c>
      <c r="E30" s="5" t="n">
        <v>-1.7</v>
      </c>
      <c r="F30" s="5"/>
      <c r="G30" s="5" t="n">
        <v>0.6695</v>
      </c>
      <c r="H30" s="6" t="n">
        <v>0.022</v>
      </c>
      <c r="I30" s="5" t="n">
        <v>30.5</v>
      </c>
      <c r="J30" s="5"/>
      <c r="K30" s="5" t="n">
        <v>0.3626</v>
      </c>
      <c r="L30" s="6" t="n">
        <v>0.00476</v>
      </c>
      <c r="M30" s="5" t="n">
        <v>76.2</v>
      </c>
    </row>
    <row r="31" customFormat="false" ht="14.65" hidden="false" customHeight="false" outlineLevel="0" collapsed="false">
      <c r="A31" s="0" t="s">
        <v>26</v>
      </c>
    </row>
    <row r="33" customFormat="false" ht="14.65" hidden="false" customHeight="false" outlineLevel="0" collapsed="false">
      <c r="A33" s="7" t="s">
        <v>27</v>
      </c>
      <c r="B33" s="7"/>
      <c r="C33" s="7" t="s">
        <v>28</v>
      </c>
    </row>
    <row r="34" customFormat="false" ht="14.65" hidden="false" customHeight="false" outlineLevel="0" collapsed="false">
      <c r="A34" s="3" t="s">
        <v>29</v>
      </c>
      <c r="B34" s="3"/>
      <c r="C34" s="3" t="n">
        <v>752</v>
      </c>
    </row>
    <row r="35" customFormat="false" ht="14.65" hidden="false" customHeight="false" outlineLevel="0" collapsed="false">
      <c r="A35" s="3" t="s">
        <v>30</v>
      </c>
      <c r="B35" s="3"/>
      <c r="C35" s="3" t="n">
        <v>-375297</v>
      </c>
    </row>
    <row r="36" customFormat="false" ht="14.65" hidden="false" customHeight="false" outlineLevel="0" collapsed="false">
      <c r="A36" s="3" t="s">
        <v>31</v>
      </c>
      <c r="B36" s="3"/>
      <c r="C36" s="3" t="n">
        <f aca="false">-281194</f>
        <v>-281194</v>
      </c>
    </row>
    <row r="37" customFormat="false" ht="14.65" hidden="false" customHeight="false" outlineLevel="0" collapsed="false">
      <c r="A37" s="3" t="s">
        <v>32</v>
      </c>
      <c r="B37" s="3"/>
      <c r="C37" s="3" t="n">
        <f aca="false">-276186</f>
        <v>-276186</v>
      </c>
    </row>
    <row r="38" customFormat="false" ht="14.65" hidden="false" customHeight="false" outlineLevel="0" collapsed="false">
      <c r="A38" s="3" t="s">
        <v>33</v>
      </c>
      <c r="B38" s="3"/>
      <c r="C38" s="3" t="n">
        <f aca="false">0.2641</f>
        <v>0.2641</v>
      </c>
    </row>
    <row r="39" customFormat="false" ht="14.65" hidden="false" customHeight="false" outlineLevel="0" collapsed="false">
      <c r="A39" s="5" t="s">
        <v>34</v>
      </c>
      <c r="B39" s="5"/>
      <c r="C39" s="5" t="n">
        <v>0.0178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:D18 D5:D18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A1" s="0" t="s">
        <v>35</v>
      </c>
      <c r="B1" s="0" t="s">
        <v>36</v>
      </c>
      <c r="C1" s="0" t="s">
        <v>37</v>
      </c>
      <c r="D1" s="0" t="s">
        <v>38</v>
      </c>
    </row>
    <row r="3" customFormat="false" ht="14.65" hidden="false" customHeight="false" outlineLevel="0" collapsed="false">
      <c r="A3" s="0" t="s">
        <v>39</v>
      </c>
      <c r="B3" s="0" t="s">
        <v>40</v>
      </c>
      <c r="C3" s="0" t="s">
        <v>41</v>
      </c>
      <c r="D3" s="0" t="s">
        <v>42</v>
      </c>
    </row>
    <row r="5" customFormat="false" ht="14.65" hidden="false" customHeight="false" outlineLevel="0" collapsed="false">
      <c r="D5" s="0" t="n">
        <v>752</v>
      </c>
    </row>
    <row r="6" customFormat="false" ht="14.65" hidden="false" customHeight="false" outlineLevel="0" collapsed="false">
      <c r="A6" s="0" t="s">
        <v>43</v>
      </c>
      <c r="B6" s="0" t="s">
        <v>44</v>
      </c>
      <c r="C6" s="0" t="s">
        <v>45</v>
      </c>
      <c r="D6" s="0" t="n">
        <v>-375297</v>
      </c>
      <c r="E6" s="0" t="n">
        <v>6094</v>
      </c>
    </row>
    <row r="8" customFormat="false" ht="14.65" hidden="false" customHeight="false" outlineLevel="0" collapsed="false">
      <c r="A8" s="0" t="s">
        <v>43</v>
      </c>
      <c r="B8" s="0" t="s">
        <v>46</v>
      </c>
      <c r="C8" s="0" t="s">
        <v>47</v>
      </c>
      <c r="D8" s="0" t="n">
        <f aca="false">-281194</f>
        <v>-281194</v>
      </c>
      <c r="E8" s="0" t="n">
        <v>766</v>
      </c>
    </row>
    <row r="10" customFormat="false" ht="14.65" hidden="false" customHeight="false" outlineLevel="0" collapsed="false">
      <c r="A10" s="0" t="s">
        <v>48</v>
      </c>
      <c r="B10" s="0" t="s">
        <v>49</v>
      </c>
      <c r="D10" s="0" t="n">
        <f aca="false">-375297</f>
        <v>-375297</v>
      </c>
      <c r="E10" s="0" t="n">
        <v>6094</v>
      </c>
    </row>
    <row r="13" customFormat="false" ht="14.65" hidden="false" customHeight="false" outlineLevel="0" collapsed="false">
      <c r="A13" s="0" t="s">
        <v>50</v>
      </c>
      <c r="B13" s="0" t="s">
        <v>51</v>
      </c>
      <c r="C13" s="0" t="s">
        <v>52</v>
      </c>
      <c r="D13" s="0" t="n">
        <f aca="false">-276186</f>
        <v>-276186</v>
      </c>
      <c r="E13" s="0" t="n">
        <v>329</v>
      </c>
    </row>
    <row r="16" customFormat="false" ht="14.65" hidden="false" customHeight="false" outlineLevel="0" collapsed="false">
      <c r="A16" s="0" t="s">
        <v>53</v>
      </c>
      <c r="B16" s="0" t="s">
        <v>54</v>
      </c>
      <c r="C16" s="0" t="s">
        <v>55</v>
      </c>
      <c r="D16" s="0" t="n">
        <f aca="false">0.2641</f>
        <v>0.2641</v>
      </c>
    </row>
    <row r="18" customFormat="false" ht="14.65" hidden="false" customHeight="false" outlineLevel="0" collapsed="false">
      <c r="A18" s="0" t="s">
        <v>53</v>
      </c>
      <c r="B18" s="0" t="s">
        <v>54</v>
      </c>
      <c r="C18" s="0" t="s">
        <v>56</v>
      </c>
      <c r="D18" s="0" t="n">
        <v>0.0178</v>
      </c>
    </row>
    <row r="23" customFormat="false" ht="14.65" hidden="false" customHeight="false" outlineLevel="0" collapsed="false">
      <c r="A23" s="0" t="s">
        <v>57</v>
      </c>
      <c r="B23" s="0" t="s">
        <v>58</v>
      </c>
      <c r="C23" s="0" t="s">
        <v>59</v>
      </c>
      <c r="D23" s="0" t="n">
        <v>6</v>
      </c>
    </row>
    <row r="26" customFormat="false" ht="14.65" hidden="false" customHeight="false" outlineLevel="0" collapsed="false">
      <c r="A26" s="0" t="s">
        <v>43</v>
      </c>
      <c r="B26" s="0" t="n">
        <f aca="false">-276186</f>
        <v>-276186</v>
      </c>
      <c r="C26" s="0" t="n">
        <v>329</v>
      </c>
    </row>
    <row r="29" customFormat="false" ht="14.65" hidden="false" customHeight="false" outlineLevel="0" collapsed="false">
      <c r="B29" s="0" t="s">
        <v>60</v>
      </c>
      <c r="C29" s="0" t="s">
        <v>61</v>
      </c>
      <c r="D29" s="0" t="s">
        <v>62</v>
      </c>
      <c r="E29" s="0" t="s">
        <v>63</v>
      </c>
      <c r="F29" s="0" t="s">
        <v>64</v>
      </c>
      <c r="G29" s="0" t="s">
        <v>65</v>
      </c>
    </row>
    <row r="31" customFormat="false" ht="14.65" hidden="false" customHeight="false" outlineLevel="0" collapsed="false">
      <c r="A31" s="0" t="s">
        <v>6</v>
      </c>
      <c r="B31" s="0" t="n">
        <v>0.8508</v>
      </c>
      <c r="C31" s="0" t="n">
        <v>-2.258</v>
      </c>
      <c r="D31" s="0" t="n">
        <v>-1.488</v>
      </c>
      <c r="E31" s="8" t="n">
        <v>0.06829</v>
      </c>
      <c r="F31" s="8" t="n">
        <v>-0.002276</v>
      </c>
      <c r="G31" s="8" t="n">
        <v>0.01962</v>
      </c>
    </row>
    <row r="32" customFormat="false" ht="14.65" hidden="false" customHeight="false" outlineLevel="0" collapsed="false">
      <c r="A32" s="0" t="s">
        <v>7</v>
      </c>
      <c r="B32" s="8" t="n">
        <v>0.03</v>
      </c>
      <c r="C32" s="8" t="n">
        <v>0.0771</v>
      </c>
      <c r="D32" s="8" t="n">
        <v>0.0534</v>
      </c>
      <c r="E32" s="8" t="n">
        <v>0.0156</v>
      </c>
      <c r="F32" s="8" t="n">
        <v>0.000741</v>
      </c>
      <c r="G32" s="8" t="n">
        <v>0.00305</v>
      </c>
    </row>
    <row r="33" customFormat="false" ht="14.65" hidden="false" customHeight="false" outlineLevel="0" collapsed="false">
      <c r="A33" s="0" t="s">
        <v>8</v>
      </c>
      <c r="B33" s="0" t="n">
        <v>28.4</v>
      </c>
      <c r="C33" s="0" t="n">
        <v>-29.3</v>
      </c>
      <c r="D33" s="0" t="n">
        <v>-27.9</v>
      </c>
      <c r="E33" s="0" t="n">
        <v>4.4</v>
      </c>
      <c r="F33" s="0" t="n">
        <v>-3.1</v>
      </c>
      <c r="G33" s="0" t="n">
        <v>6.4</v>
      </c>
    </row>
    <row r="36" customFormat="false" ht="14.65" hidden="false" customHeight="false" outlineLevel="0" collapsed="false">
      <c r="B36" s="0" t="s">
        <v>66</v>
      </c>
      <c r="C36" s="0" t="s">
        <v>67</v>
      </c>
      <c r="D36" s="0" t="s">
        <v>68</v>
      </c>
      <c r="E36" s="0" t="s">
        <v>69</v>
      </c>
      <c r="F36" s="0" t="s">
        <v>70</v>
      </c>
      <c r="G36" s="0" t="s">
        <v>71</v>
      </c>
    </row>
    <row r="38" customFormat="false" ht="14.65" hidden="false" customHeight="false" outlineLevel="0" collapsed="false">
      <c r="A38" s="0" t="s">
        <v>6</v>
      </c>
      <c r="B38" s="0" t="n">
        <v>-0.5096</v>
      </c>
      <c r="C38" s="0" t="n">
        <v>-0.3103</v>
      </c>
      <c r="D38" s="0" t="n">
        <v>-0.2654</v>
      </c>
      <c r="E38" s="8" t="n">
        <v>1.549E-008</v>
      </c>
      <c r="F38" s="8" t="n">
        <v>-0.00312</v>
      </c>
      <c r="G38" s="0" t="n">
        <v>-0.184</v>
      </c>
    </row>
    <row r="39" customFormat="false" ht="14.65" hidden="false" customHeight="false" outlineLevel="0" collapsed="false">
      <c r="A39" s="0" t="s">
        <v>7</v>
      </c>
      <c r="B39" s="8" t="n">
        <v>0.023</v>
      </c>
      <c r="C39" s="8" t="n">
        <v>0.0271</v>
      </c>
      <c r="D39" s="8" t="n">
        <v>0.0232</v>
      </c>
      <c r="E39" s="8" t="n">
        <v>1.39E-009</v>
      </c>
      <c r="F39" s="8" t="n">
        <v>0.00201</v>
      </c>
      <c r="G39" s="8" t="n">
        <v>0.0226</v>
      </c>
    </row>
    <row r="40" customFormat="false" ht="14.65" hidden="false" customHeight="false" outlineLevel="0" collapsed="false">
      <c r="A40" s="0" t="s">
        <v>8</v>
      </c>
      <c r="B40" s="0" t="n">
        <v>-22.1</v>
      </c>
      <c r="C40" s="0" t="n">
        <v>-11.4</v>
      </c>
      <c r="D40" s="0" t="n">
        <v>-11.5</v>
      </c>
      <c r="E40" s="0" t="n">
        <v>11.1</v>
      </c>
      <c r="F40" s="0" t="n">
        <v>-1.6</v>
      </c>
      <c r="G40" s="0" t="n">
        <v>-8.1</v>
      </c>
    </row>
    <row r="43" customFormat="false" ht="14.65" hidden="false" customHeight="false" outlineLevel="0" collapsed="false">
      <c r="B43" s="0" t="s">
        <v>72</v>
      </c>
      <c r="C43" s="0" t="s">
        <v>73</v>
      </c>
      <c r="D43" s="0" t="s">
        <v>74</v>
      </c>
      <c r="E43" s="0" t="s">
        <v>75</v>
      </c>
      <c r="F43" s="0" t="s">
        <v>76</v>
      </c>
      <c r="G43" s="0" t="s">
        <v>77</v>
      </c>
    </row>
    <row r="45" customFormat="false" ht="14.65" hidden="false" customHeight="false" outlineLevel="0" collapsed="false">
      <c r="A45" s="0" t="s">
        <v>6</v>
      </c>
      <c r="B45" s="0" t="n">
        <v>-0.2194</v>
      </c>
      <c r="C45" s="0" t="n">
        <v>-0.1006</v>
      </c>
      <c r="D45" s="8" t="n">
        <v>-0.08505</v>
      </c>
      <c r="E45" s="0" t="n">
        <v>-0.1464</v>
      </c>
      <c r="F45" s="0" t="n">
        <v>-0.2994</v>
      </c>
      <c r="G45" s="0" t="n">
        <v>-0.2801</v>
      </c>
    </row>
    <row r="46" customFormat="false" ht="14.65" hidden="false" customHeight="false" outlineLevel="0" collapsed="false">
      <c r="A46" s="0" t="s">
        <v>7</v>
      </c>
      <c r="B46" s="8" t="n">
        <v>0.0215</v>
      </c>
      <c r="C46" s="8" t="n">
        <v>0.0225</v>
      </c>
      <c r="D46" s="8" t="n">
        <v>0.0111</v>
      </c>
      <c r="E46" s="8" t="n">
        <v>0.0251</v>
      </c>
      <c r="F46" s="8" t="n">
        <v>0.029</v>
      </c>
      <c r="G46" s="8" t="n">
        <v>0.028</v>
      </c>
    </row>
    <row r="47" customFormat="false" ht="14.65" hidden="false" customHeight="false" outlineLevel="0" collapsed="false">
      <c r="A47" s="0" t="s">
        <v>8</v>
      </c>
      <c r="B47" s="0" t="n">
        <v>-10.2</v>
      </c>
      <c r="C47" s="0" t="n">
        <v>-4.5</v>
      </c>
      <c r="D47" s="0" t="n">
        <v>-7.7</v>
      </c>
      <c r="E47" s="0" t="n">
        <v>-5.8</v>
      </c>
      <c r="F47" s="0" t="n">
        <v>-10.3</v>
      </c>
      <c r="G47" s="0" t="n">
        <v>-10</v>
      </c>
    </row>
    <row r="50" customFormat="false" ht="14.65" hidden="false" customHeight="false" outlineLevel="0" collapsed="false">
      <c r="B50" s="0" t="s">
        <v>78</v>
      </c>
      <c r="C50" s="0" t="s">
        <v>79</v>
      </c>
      <c r="D50" s="0" t="s">
        <v>80</v>
      </c>
      <c r="E50" s="0" t="s">
        <v>81</v>
      </c>
      <c r="F50" s="0" t="s">
        <v>82</v>
      </c>
      <c r="G50" s="0" t="s">
        <v>83</v>
      </c>
    </row>
    <row r="52" customFormat="false" ht="14.65" hidden="false" customHeight="false" outlineLevel="0" collapsed="false">
      <c r="A52" s="0" t="s">
        <v>6</v>
      </c>
      <c r="B52" s="0" t="n">
        <v>0.3626</v>
      </c>
      <c r="C52" s="0" t="n">
        <v>-0.2578</v>
      </c>
      <c r="D52" s="8" t="n">
        <v>-0.00148</v>
      </c>
      <c r="E52" s="8" t="n">
        <v>-0.01433</v>
      </c>
      <c r="F52" s="0" t="n">
        <v>0.2035</v>
      </c>
      <c r="G52" s="0" t="n">
        <v>-0.4371</v>
      </c>
    </row>
    <row r="53" customFormat="false" ht="14.65" hidden="false" customHeight="false" outlineLevel="0" collapsed="false">
      <c r="A53" s="0" t="s">
        <v>7</v>
      </c>
      <c r="B53" s="8" t="n">
        <v>0.00476</v>
      </c>
      <c r="C53" s="8" t="n">
        <v>0.0225</v>
      </c>
      <c r="D53" s="8" t="n">
        <v>0.00103</v>
      </c>
      <c r="E53" s="8" t="n">
        <v>0.0044</v>
      </c>
      <c r="F53" s="8" t="n">
        <v>0.033</v>
      </c>
      <c r="G53" s="8" t="n">
        <v>0.0454</v>
      </c>
    </row>
    <row r="54" customFormat="false" ht="14.65" hidden="false" customHeight="false" outlineLevel="0" collapsed="false">
      <c r="A54" s="0" t="s">
        <v>8</v>
      </c>
      <c r="B54" s="0" t="n">
        <v>76.2</v>
      </c>
      <c r="C54" s="0" t="n">
        <v>-11.5</v>
      </c>
      <c r="D54" s="0" t="n">
        <v>-1.4</v>
      </c>
      <c r="E54" s="0" t="n">
        <v>-3.3</v>
      </c>
      <c r="F54" s="0" t="n">
        <v>6.2</v>
      </c>
      <c r="G54" s="0" t="n">
        <v>-9.6</v>
      </c>
    </row>
    <row r="56" customFormat="false" ht="14.65" hidden="false" customHeight="false" outlineLevel="0" collapsed="false">
      <c r="B56" s="0" t="s">
        <v>84</v>
      </c>
      <c r="C56" s="0" t="s">
        <v>85</v>
      </c>
      <c r="D56" s="0" t="s">
        <v>86</v>
      </c>
      <c r="E56" s="0" t="s">
        <v>87</v>
      </c>
      <c r="F56" s="0" t="s">
        <v>88</v>
      </c>
      <c r="G56" s="0" t="s">
        <v>89</v>
      </c>
    </row>
    <row r="58" customFormat="false" ht="14.65" hidden="false" customHeight="false" outlineLevel="0" collapsed="false">
      <c r="A58" s="0" t="s">
        <v>6</v>
      </c>
      <c r="B58" s="0" t="n">
        <v>-0.2397</v>
      </c>
      <c r="C58" s="8" t="n">
        <v>-5.462E-009</v>
      </c>
      <c r="D58" s="8" t="n">
        <v>-0.01075</v>
      </c>
      <c r="E58" s="8" t="n">
        <v>-0.003186</v>
      </c>
      <c r="F58" s="8" t="n">
        <v>-0.0727</v>
      </c>
      <c r="G58" s="8" t="n">
        <v>-0.05605</v>
      </c>
    </row>
    <row r="59" customFormat="false" ht="14.65" hidden="false" customHeight="false" outlineLevel="0" collapsed="false">
      <c r="A59" s="0" t="s">
        <v>7</v>
      </c>
      <c r="B59" s="8" t="n">
        <v>0.0359</v>
      </c>
      <c r="C59" s="8" t="n">
        <v>1.84E-009</v>
      </c>
      <c r="D59" s="8" t="n">
        <v>0.00282</v>
      </c>
      <c r="E59" s="8" t="n">
        <v>0.0327</v>
      </c>
      <c r="F59" s="8" t="n">
        <v>0.0309</v>
      </c>
      <c r="G59" s="8" t="n">
        <v>0.032</v>
      </c>
    </row>
    <row r="60" customFormat="false" ht="14.65" hidden="false" customHeight="false" outlineLevel="0" collapsed="false">
      <c r="A60" s="0" t="s">
        <v>8</v>
      </c>
      <c r="B60" s="0" t="n">
        <v>-6.7</v>
      </c>
      <c r="C60" s="0" t="n">
        <v>-3</v>
      </c>
      <c r="D60" s="0" t="n">
        <v>-3.8</v>
      </c>
      <c r="E60" s="0" t="n">
        <v>-0.1</v>
      </c>
      <c r="F60" s="0" t="n">
        <v>-2.4</v>
      </c>
      <c r="G60" s="0" t="n">
        <v>-1.7</v>
      </c>
    </row>
    <row r="63" customFormat="false" ht="14.65" hidden="false" customHeight="false" outlineLevel="0" collapsed="false">
      <c r="B63" s="0" t="s">
        <v>90</v>
      </c>
      <c r="C63" s="0" t="s">
        <v>91</v>
      </c>
      <c r="D63" s="0" t="s">
        <v>92</v>
      </c>
      <c r="E63" s="0" t="s">
        <v>93</v>
      </c>
      <c r="F63" s="0" t="s">
        <v>94</v>
      </c>
      <c r="G63" s="0" t="s">
        <v>95</v>
      </c>
    </row>
    <row r="65" customFormat="false" ht="14.65" hidden="false" customHeight="false" outlineLevel="0" collapsed="false">
      <c r="A65" s="0" t="s">
        <v>6</v>
      </c>
      <c r="B65" s="8" t="n">
        <v>-0.02026</v>
      </c>
      <c r="C65" s="8" t="n">
        <v>-0.05725</v>
      </c>
      <c r="D65" s="0" t="n">
        <v>-0.2239</v>
      </c>
      <c r="E65" s="0" t="n">
        <v>-0.3084</v>
      </c>
      <c r="F65" s="0" t="n">
        <v>0.6695</v>
      </c>
      <c r="G65" s="0" t="n">
        <v>-0.2735</v>
      </c>
    </row>
    <row r="66" customFormat="false" ht="14.65" hidden="false" customHeight="false" outlineLevel="0" collapsed="false">
      <c r="A66" s="0" t="s">
        <v>7</v>
      </c>
      <c r="B66" s="8" t="n">
        <v>0.0147</v>
      </c>
      <c r="C66" s="8" t="n">
        <v>0.035</v>
      </c>
      <c r="D66" s="8" t="n">
        <v>0.0403</v>
      </c>
      <c r="E66" s="8" t="n">
        <v>0.0395</v>
      </c>
      <c r="F66" s="8" t="n">
        <v>0.022</v>
      </c>
      <c r="G66" s="8" t="n">
        <v>0.00898</v>
      </c>
    </row>
    <row r="67" customFormat="false" ht="14.65" hidden="false" customHeight="false" outlineLevel="0" collapsed="false">
      <c r="A67" s="0" t="s">
        <v>8</v>
      </c>
      <c r="B67" s="0" t="n">
        <v>-1.4</v>
      </c>
      <c r="C67" s="0" t="n">
        <v>-1.6</v>
      </c>
      <c r="D67" s="0" t="n">
        <v>-5.6</v>
      </c>
      <c r="E67" s="0" t="n">
        <v>-7.8</v>
      </c>
      <c r="F67" s="0" t="n">
        <v>30.5</v>
      </c>
      <c r="G67" s="0" t="n">
        <v>-30.5</v>
      </c>
    </row>
    <row r="70" customFormat="false" ht="14.65" hidden="false" customHeight="false" outlineLevel="0" collapsed="false">
      <c r="B70" s="0" t="s">
        <v>96</v>
      </c>
      <c r="C70" s="0" t="s">
        <v>97</v>
      </c>
      <c r="D70" s="0" t="s">
        <v>98</v>
      </c>
      <c r="E70" s="0" t="s">
        <v>99</v>
      </c>
      <c r="F70" s="0" t="s">
        <v>100</v>
      </c>
      <c r="G70" s="0" t="s">
        <v>101</v>
      </c>
    </row>
    <row r="72" customFormat="false" ht="14.65" hidden="false" customHeight="false" outlineLevel="0" collapsed="false">
      <c r="A72" s="0" t="s">
        <v>6</v>
      </c>
      <c r="B72" s="8" t="n">
        <v>0.000374</v>
      </c>
      <c r="C72" s="8" t="n">
        <v>-0.01223</v>
      </c>
      <c r="D72" s="0" t="n">
        <v>-0.2066</v>
      </c>
      <c r="E72" s="0" t="n">
        <v>-0.1556</v>
      </c>
      <c r="F72" s="8" t="n">
        <v>6.996E-010</v>
      </c>
      <c r="G72" s="8" t="n">
        <v>0.0002799</v>
      </c>
    </row>
    <row r="73" customFormat="false" ht="14.65" hidden="false" customHeight="false" outlineLevel="0" collapsed="false">
      <c r="A73" s="0" t="s">
        <v>7</v>
      </c>
      <c r="B73" s="8" t="n">
        <v>0.000438</v>
      </c>
      <c r="C73" s="8" t="n">
        <v>0.0139</v>
      </c>
      <c r="D73" s="8" t="n">
        <v>0.0168</v>
      </c>
      <c r="E73" s="8" t="n">
        <v>0.0144</v>
      </c>
      <c r="F73" s="8" t="n">
        <v>7.64E-010</v>
      </c>
      <c r="G73" s="8" t="n">
        <v>0.00117</v>
      </c>
    </row>
    <row r="74" customFormat="false" ht="14.65" hidden="false" customHeight="false" outlineLevel="0" collapsed="false">
      <c r="A74" s="0" t="s">
        <v>8</v>
      </c>
      <c r="B74" s="0" t="n">
        <v>0.9</v>
      </c>
      <c r="C74" s="0" t="n">
        <v>-0.9</v>
      </c>
      <c r="D74" s="0" t="n">
        <v>-12.3</v>
      </c>
      <c r="E74" s="0" t="n">
        <v>-10.8</v>
      </c>
      <c r="F74" s="0" t="n">
        <v>0.9</v>
      </c>
      <c r="G74" s="0" t="n">
        <v>0.2</v>
      </c>
    </row>
    <row r="77" customFormat="false" ht="14.65" hidden="false" customHeight="false" outlineLevel="0" collapsed="false">
      <c r="B77" s="0" t="s">
        <v>102</v>
      </c>
      <c r="C77" s="0" t="s">
        <v>103</v>
      </c>
      <c r="D77" s="0" t="s">
        <v>104</v>
      </c>
      <c r="E77" s="0" t="s">
        <v>105</v>
      </c>
      <c r="F77" s="0" t="s">
        <v>106</v>
      </c>
      <c r="G77" s="0" t="s">
        <v>107</v>
      </c>
    </row>
    <row r="79" customFormat="false" ht="14.65" hidden="false" customHeight="false" outlineLevel="0" collapsed="false">
      <c r="A79" s="0" t="s">
        <v>6</v>
      </c>
      <c r="B79" s="8" t="n">
        <v>0.02757</v>
      </c>
      <c r="C79" s="8" t="n">
        <v>0.02707</v>
      </c>
      <c r="D79" s="8" t="n">
        <v>0.04175</v>
      </c>
      <c r="E79" s="8" t="n">
        <v>-0.09051</v>
      </c>
      <c r="F79" s="0" t="n">
        <v>-0.1074</v>
      </c>
      <c r="G79" s="8" t="n">
        <v>-0.04638</v>
      </c>
    </row>
    <row r="80" customFormat="false" ht="14.65" hidden="false" customHeight="false" outlineLevel="0" collapsed="false">
      <c r="A80" s="0" t="s">
        <v>7</v>
      </c>
      <c r="B80" s="8" t="n">
        <v>0.0137</v>
      </c>
      <c r="C80" s="8" t="n">
        <v>0.0131</v>
      </c>
      <c r="D80" s="8" t="n">
        <v>0.0135</v>
      </c>
      <c r="E80" s="8" t="n">
        <v>0.00615</v>
      </c>
      <c r="F80" s="8" t="n">
        <v>0.0151</v>
      </c>
      <c r="G80" s="8" t="n">
        <v>0.0172</v>
      </c>
    </row>
    <row r="81" customFormat="false" ht="14.65" hidden="false" customHeight="false" outlineLevel="0" collapsed="false">
      <c r="A81" s="0" t="s">
        <v>8</v>
      </c>
      <c r="B81" s="0" t="n">
        <v>2</v>
      </c>
      <c r="C81" s="0" t="n">
        <v>2.1</v>
      </c>
      <c r="D81" s="0" t="n">
        <v>3.1</v>
      </c>
      <c r="E81" s="0" t="n">
        <v>-14.7</v>
      </c>
      <c r="F81" s="0" t="n">
        <v>-7.1</v>
      </c>
      <c r="G81" s="0" t="n">
        <v>-2.7</v>
      </c>
    </row>
    <row r="84" customFormat="false" ht="14.65" hidden="false" customHeight="false" outlineLevel="0" collapsed="false">
      <c r="B84" s="0" t="s">
        <v>108</v>
      </c>
      <c r="C84" s="0" t="s">
        <v>109</v>
      </c>
    </row>
    <row r="86" customFormat="false" ht="14.65" hidden="false" customHeight="false" outlineLevel="0" collapsed="false">
      <c r="A86" s="0" t="s">
        <v>6</v>
      </c>
      <c r="B86" s="8" t="n">
        <v>-0.09175</v>
      </c>
      <c r="C86" s="8" t="n">
        <v>-0.007354</v>
      </c>
    </row>
    <row r="87" customFormat="false" ht="14.65" hidden="false" customHeight="false" outlineLevel="0" collapsed="false">
      <c r="A87" s="0" t="s">
        <v>7</v>
      </c>
      <c r="B87" s="8" t="n">
        <v>0.0165</v>
      </c>
      <c r="C87" s="8" t="n">
        <v>0.00439</v>
      </c>
    </row>
    <row r="88" customFormat="false" ht="14.65" hidden="false" customHeight="false" outlineLevel="0" collapsed="false">
      <c r="A88" s="0" t="s">
        <v>8</v>
      </c>
      <c r="B88" s="0" t="n">
        <v>-5.5</v>
      </c>
      <c r="C88" s="0" t="n">
        <v>-1.7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