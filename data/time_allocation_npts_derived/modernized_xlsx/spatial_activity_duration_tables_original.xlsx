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nsity" sheetId="1" state="visible" r:id="rId3"/>
    <sheet name="Work_Sex" sheetId="2" state="visible" r:id="rId4"/>
    <sheet name="Race" sheetId="3" state="visible" r:id="rId5"/>
    <sheet name="CMSA" sheetId="4" state="visible" r:id="rId6"/>
    <sheet name="MSA" sheetId="5" state="visible" r:id="rId7"/>
    <sheet name="CensusD" sheetId="6" state="visible" r:id="rId8"/>
    <sheet name="Income" sheetId="7" state="visible" r:id="rId9"/>
    <sheet name="Relate" sheetId="8" state="visible" r:id="rId10"/>
    <sheet name="Stops" sheetId="9" state="visible" r:id="rId11"/>
    <sheet name="Correlate" sheetId="10" state="visible" r:id="rId12"/>
    <sheet name="Corr-short" sheetId="11" state="visible" r:id="rId13"/>
    <sheet name="Regress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<sst xmlns="http://schemas.openxmlformats.org/spreadsheetml/2006/main" count="2258" uniqueCount="205">
  <si>
    <t xml:space="preserve">Summaries</t>
  </si>
  <si>
    <t xml:space="preserve">of</t>
  </si>
  <si>
    <t xml:space="preserve">TIMEHOME</t>
  </si>
  <si>
    <t xml:space="preserve">By</t>
  </si>
  <si>
    <t xml:space="preserve">levels</t>
  </si>
  <si>
    <t xml:space="preserve">DENSX</t>
  </si>
  <si>
    <t xml:space="preserve">Variable</t>
  </si>
  <si>
    <t xml:space="preserve">Value</t>
  </si>
  <si>
    <t xml:space="preserve">Mean</t>
  </si>
  <si>
    <t xml:space="preserve">StdDev</t>
  </si>
  <si>
    <t xml:space="preserve">N</t>
  </si>
  <si>
    <t xml:space="preserve"> </t>
  </si>
  <si>
    <t xml:space="preserve">For</t>
  </si>
  <si>
    <t xml:space="preserve">Entire</t>
  </si>
  <si>
    <t xml:space="preserve">Total</t>
  </si>
  <si>
    <t xml:space="preserve">Cases</t>
  </si>
  <si>
    <t xml:space="preserve">=</t>
  </si>
  <si>
    <t xml:space="preserve">-------------------------------------------------------------------------------</t>
  </si>
  <si>
    <t xml:space="preserve">Page</t>
  </si>
  <si>
    <t xml:space="preserve">SPSS/PC+</t>
  </si>
  <si>
    <t xml:space="preserve">TIMEWORK</t>
  </si>
  <si>
    <t xml:space="preserve">TIMESHOP</t>
  </si>
  <si>
    <t xml:space="preserve">TIMEOTHE</t>
  </si>
  <si>
    <t xml:space="preserve">TIMETRAV</t>
  </si>
  <si>
    <t xml:space="preserve">Density Class</t>
  </si>
  <si>
    <t xml:space="preserve">Low</t>
  </si>
  <si>
    <t xml:space="preserve">High</t>
  </si>
  <si>
    <t xml:space="preserve">+</t>
  </si>
  <si>
    <t xml:space="preserve">Residential Density</t>
  </si>
  <si>
    <t xml:space="preserve">HOME</t>
  </si>
  <si>
    <t xml:space="preserve">WORK</t>
  </si>
  <si>
    <t xml:space="preserve">SHOP</t>
  </si>
  <si>
    <t xml:space="preserve">OTHER</t>
  </si>
  <si>
    <t xml:space="preserve">TRAVEL</t>
  </si>
  <si>
    <t xml:space="preserve">0-99</t>
  </si>
  <si>
    <t xml:space="preserve">100-249</t>
  </si>
  <si>
    <t xml:space="preserve">250-499</t>
  </si>
  <si>
    <t xml:space="preserve">500-749</t>
  </si>
  <si>
    <t xml:space="preserve">750-999</t>
  </si>
  <si>
    <t xml:space="preserve">1000-1999</t>
  </si>
  <si>
    <t xml:space="preserve">2000-2999</t>
  </si>
  <si>
    <t xml:space="preserve">3000-3999</t>
  </si>
  <si>
    <t xml:space="preserve">4000-4999</t>
  </si>
  <si>
    <t xml:space="preserve">5000-7499</t>
  </si>
  <si>
    <t xml:space="preserve">7500-10000</t>
  </si>
  <si>
    <t xml:space="preserve">10000-49999</t>
  </si>
  <si>
    <t xml:space="preserve">50000+</t>
  </si>
  <si>
    <t xml:space="preserve">WORKX</t>
  </si>
  <si>
    <t xml:space="preserve">Label</t>
  </si>
  <si>
    <t xml:space="preserve">Std</t>
  </si>
  <si>
    <t xml:space="preserve">Dev</t>
  </si>
  <si>
    <t xml:space="preserve">This</t>
  </si>
  <si>
    <t xml:space="preserve">procedure</t>
  </si>
  <si>
    <t xml:space="preserve">was</t>
  </si>
  <si>
    <t xml:space="preserve">completed</t>
  </si>
  <si>
    <t xml:space="preserve">at</t>
  </si>
  <si>
    <t xml:space="preserve">means</t>
  </si>
  <si>
    <t xml:space="preserve">tables=</t>
  </si>
  <si>
    <t xml:space="preserve">timehome</t>
  </si>
  <si>
    <t xml:space="preserve">timework</t>
  </si>
  <si>
    <t xml:space="preserve">timeshop</t>
  </si>
  <si>
    <t xml:space="preserve">timeothe</t>
  </si>
  <si>
    <t xml:space="preserve">timetrav</t>
  </si>
  <si>
    <t xml:space="preserve">by</t>
  </si>
  <si>
    <t xml:space="preserve">sexx.</t>
  </si>
  <si>
    <t xml:space="preserve">*****</t>
  </si>
  <si>
    <t xml:space="preserve">Given</t>
  </si>
  <si>
    <t xml:space="preserve">WORKSPACE</t>
  </si>
  <si>
    <t xml:space="preserve">allows</t>
  </si>
  <si>
    <t xml:space="preserve">for</t>
  </si>
  <si>
    <t xml:space="preserve">Cells</t>
  </si>
  <si>
    <t xml:space="preserve">with</t>
  </si>
  <si>
    <t xml:space="preserve">Dimensions</t>
  </si>
  <si>
    <t xml:space="preserve">MEANS.</t>
  </si>
  <si>
    <t xml:space="preserve">SEXX</t>
  </si>
  <si>
    <t xml:space="preserve">Home</t>
  </si>
  <si>
    <t xml:space="preserve">Work</t>
  </si>
  <si>
    <t xml:space="preserve">Shop</t>
  </si>
  <si>
    <t xml:space="preserve">Other</t>
  </si>
  <si>
    <t xml:space="preserve">Travel</t>
  </si>
  <si>
    <t xml:space="preserve">Std.Dev.</t>
  </si>
  <si>
    <t xml:space="preserve">Male</t>
  </si>
  <si>
    <t xml:space="preserve">Female</t>
  </si>
  <si>
    <t xml:space="preserve">RACEX</t>
  </si>
  <si>
    <t xml:space="preserve">Population</t>
  </si>
  <si>
    <t xml:space="preserve">hhmsax.</t>
  </si>
  <si>
    <t xml:space="preserve">City</t>
  </si>
  <si>
    <t xml:space="preserve">CMSA Name</t>
  </si>
  <si>
    <t xml:space="preserve">1990 Population</t>
  </si>
  <si>
    <t xml:space="preserve">Std Dev</t>
  </si>
  <si>
    <t xml:space="preserve">t-stat</t>
  </si>
  <si>
    <t xml:space="preserve">Hartford, CT</t>
  </si>
  <si>
    <t xml:space="preserve">Providence, RI</t>
  </si>
  <si>
    <t xml:space="preserve">Buffalo, NY</t>
  </si>
  <si>
    <t xml:space="preserve">Portland, OR</t>
  </si>
  <si>
    <t xml:space="preserve">Milwaukee, WI</t>
  </si>
  <si>
    <t xml:space="preserve">Cincinnati, OH</t>
  </si>
  <si>
    <t xml:space="preserve">Denver, CO</t>
  </si>
  <si>
    <t xml:space="preserve">Pittsburgh,PA</t>
  </si>
  <si>
    <t xml:space="preserve">Seattle, WA</t>
  </si>
  <si>
    <t xml:space="preserve">Cleveland, OH</t>
  </si>
  <si>
    <t xml:space="preserve">Miami, FL</t>
  </si>
  <si>
    <t xml:space="preserve">Houston, TX</t>
  </si>
  <si>
    <t xml:space="preserve">Dallas, TX</t>
  </si>
  <si>
    <t xml:space="preserve">Boston, MA</t>
  </si>
  <si>
    <t xml:space="preserve">Detroit, MI</t>
  </si>
  <si>
    <t xml:space="preserve">Philadelphia, PA</t>
  </si>
  <si>
    <t xml:space="preserve">San Francisco, CA</t>
  </si>
  <si>
    <t xml:space="preserve">Chicago, IL</t>
  </si>
  <si>
    <t xml:space="preserve">Los Angeles, CA</t>
  </si>
  <si>
    <t xml:space="preserve">New York, NY</t>
  </si>
  <si>
    <t xml:space="preserve">HHMSAX</t>
  </si>
  <si>
    <t xml:space="preserve">Missing</t>
  </si>
  <si>
    <t xml:space="preserve">OR</t>
  </si>
  <si>
    <t xml:space="preserve">PCT.</t>
  </si>
  <si>
    <t xml:space="preserve">cmsax.</t>
  </si>
  <si>
    <t xml:space="preserve">CENSDX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</si>
  <si>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</si>
  <si>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</si>
  <si>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</si>
  <si>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</si>
  <si>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</si>
  <si>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</si>
  <si>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</si>
  <si>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</si>
  <si>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</si>
  <si>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</si>
  <si>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Income</t>
  </si>
  <si>
    <t xml:space="preserve">HHINCX</t>
  </si>
  <si>
    <t xml:space="preserve">Table:    Life Cycle Stage and Activity Duration</t>
  </si>
  <si>
    <t xml:space="preserve">RELATE</t>
  </si>
  <si>
    <t xml:space="preserve">No. Adults</t>
  </si>
  <si>
    <t xml:space="preserve">Youngest Child</t>
  </si>
  <si>
    <t xml:space="preserve">Std. Dev.</t>
  </si>
  <si>
    <t xml:space="preserve">Diff. Means</t>
  </si>
  <si>
    <t xml:space="preserve">Single</t>
  </si>
  <si>
    <t xml:space="preserve">None</t>
  </si>
  <si>
    <t xml:space="preserve">Couple</t>
  </si>
  <si>
    <t xml:space="preserve">0-5</t>
  </si>
  <si>
    <t xml:space="preserve">6-15</t>
  </si>
  <si>
    <t xml:space="preserve">16-21</t>
  </si>
  <si>
    <t xml:space="preserve">retired</t>
  </si>
  <si>
    <t xml:space="preserve">TOTAL</t>
  </si>
  <si>
    <t xml:space="preserve">NS0</t>
  </si>
  <si>
    <t xml:space="preserve">nws.</t>
  </si>
  <si>
    <t xml:space="preserve">NWS</t>
  </si>
  <si>
    <t xml:space="preserve">ns3.</t>
  </si>
  <si>
    <t xml:space="preserve">NS3</t>
  </si>
  <si>
    <t xml:space="preserve">nos.</t>
  </si>
  <si>
    <t xml:space="preserve">NOS</t>
  </si>
  <si>
    <t xml:space="preserve">trips.</t>
  </si>
  <si>
    <t xml:space="preserve">TRIPS</t>
  </si>
  <si>
    <t xml:space="preserve">Correlations:</t>
  </si>
  <si>
    <t xml:space="preserve">Activity</t>
  </si>
  <si>
    <t xml:space="preserve">Duration</t>
  </si>
  <si>
    <t xml:space="preserve">**</t>
  </si>
  <si>
    <t xml:space="preserve">Work-Related</t>
  </si>
  <si>
    <t xml:space="preserve">*</t>
  </si>
  <si>
    <t xml:space="preserve">Personal Business</t>
  </si>
  <si>
    <t xml:space="preserve">School/Church</t>
  </si>
  <si>
    <t xml:space="preserve">Medical</t>
  </si>
  <si>
    <t xml:space="preserve">Vacation</t>
  </si>
  <si>
    <t xml:space="preserve">Visit Friends</t>
  </si>
  <si>
    <t xml:space="preserve">Pleasure Driving</t>
  </si>
  <si>
    <t xml:space="preserve">Other Social Rec.</t>
  </si>
  <si>
    <t xml:space="preserve">Visiting</t>
  </si>
  <si>
    <t xml:space="preserve">Other Social/Rec</t>
  </si>
  <si>
    <t xml:space="preserve">Activity Duration</t>
  </si>
  <si>
    <t xml:space="preserve">Other Social Recreational</t>
  </si>
  <si>
    <t xml:space="preserve">Travel Duration</t>
  </si>
  <si>
    <t xml:space="preserve">N cases</t>
  </si>
  <si>
    <t xml:space="preserve">1-tailed Significance * - 95%, ** 99%</t>
  </si>
  <si>
    <t xml:space="preserve">-.7527**</t>
  </si>
  <si>
    <t xml:space="preserve">.0673**</t>
  </si>
  <si>
    <t xml:space="preserve">-.2344**</t>
  </si>
  <si>
    <t xml:space="preserve">-.3203**</t>
  </si>
  <si>
    <t xml:space="preserve">-.2266**</t>
  </si>
  <si>
    <t xml:space="preserve">-.3912**</t>
  </si>
  <si>
    <t xml:space="preserve">-.0432**</t>
  </si>
  <si>
    <t xml:space="preserve">-.0789**</t>
  </si>
  <si>
    <t xml:space="preserve">.1996**</t>
  </si>
  <si>
    <t xml:space="preserve">TABLE 1: Models to Predict Travel Duration by Activity Duration and Number</t>
  </si>
  <si>
    <t xml:space="preserve">Visit</t>
  </si>
  <si>
    <t xml:space="preserve">Shopping</t>
  </si>
  <si>
    <t xml:space="preserve">Personal </t>
  </si>
  <si>
    <t xml:space="preserve">School</t>
  </si>
  <si>
    <t xml:space="preserve">Doctor</t>
  </si>
  <si>
    <t xml:space="preserve">Friends</t>
  </si>
  <si>
    <t xml:space="preserve">Social</t>
  </si>
  <si>
    <t xml:space="preserve"> &amp; Related</t>
  </si>
  <si>
    <t xml:space="preserve">Business</t>
  </si>
  <si>
    <t xml:space="preserve">Church</t>
  </si>
  <si>
    <t xml:space="preserve">Dentist</t>
  </si>
  <si>
    <t xml:space="preserve">Relatives</t>
  </si>
  <si>
    <t xml:space="preserve">Recreation</t>
  </si>
  <si>
    <t xml:space="preserve">Stops</t>
  </si>
  <si>
    <t xml:space="preserve">Coefficients</t>
  </si>
  <si>
    <t xml:space="preserve">Number of Stops</t>
  </si>
  <si>
    <t xml:space="preserve">(t - stat)</t>
  </si>
  <si>
    <t xml:space="preserve">Constant</t>
  </si>
  <si>
    <t xml:space="preserve">Adj. R-Square</t>
  </si>
  <si>
    <t xml:space="preserve">Std. Error</t>
  </si>
  <si>
    <t xml:space="preserve">F-Stat</t>
  </si>
  <si>
    <t xml:space="preserve">Sig. F</t>
  </si>
  <si>
    <t xml:space="preserve">note: mean activity duration, travel duration, and number of stops is only for those making trips (number of stops &gt; 1), as are associated regressions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</si>
</sst>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C09]d/mm/yyyy"/>
    <numFmt numFmtId="166" formatCode="[$-C09]h:mm:ss"/>
    <numFmt numFmtId="167" formatCode="0"/>
    <numFmt numFmtId="168" formatCode="0.00"/>
    <numFmt numFmtId="169" formatCode="[$-C09]d\-mmm"/>
    <numFmt numFmtId="170" formatCode="0.000"/>
  </numFmts>
  <fonts count="9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0"/>
      <name val="Geneva"/>
      <family val="2"/>
    </font>
    <font>
      <b val="true"/>
      <sz val="14"/>
      <name val="Geneva"/>
      <family val="2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0A0FF"/>
      <rgbColor rgb="FF802060"/>
      <rgbColor rgb="FFFFFFDC"/>
      <rgbColor rgb="FFB8E8E8"/>
      <rgbColor rgb="FF60008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80FF"/>
      <rgbColor rgb="FFC090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Residential Density vs. Time 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359356171458082"/>
          <c:y val="0.170673076923077"/>
          <c:w val="0.917068342227578"/>
          <c:h val="0.710798816568047"/>
        </c:manualLayout>
      </c:layout>
      <c:lineChart>
        <c:grouping val="standard"/>
        <c:varyColors val="0"/>
        <c:ser>
          <c:idx val="0"/>
          <c:order val="0"/>
          <c:tx>
            <c:strRef>
              <c:f>Density!$B$143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Density!$A$144:$A$156</c:f>
              <c:strCache>
                <c:ptCount val="13"/>
                <c:pt idx="0">
                  <c:v>0-99</c:v>
                </c:pt>
                <c:pt idx="1">
                  <c:v>100-249</c:v>
                </c:pt>
                <c:pt idx="2">
                  <c:v>250-499</c:v>
                </c:pt>
                <c:pt idx="3">
                  <c:v>500-749</c:v>
                </c:pt>
                <c:pt idx="4">
                  <c:v>750-999</c:v>
                </c:pt>
                <c:pt idx="5">
                  <c:v>1000-1999</c:v>
                </c:pt>
                <c:pt idx="6">
                  <c:v>2000-2999</c:v>
                </c:pt>
                <c:pt idx="7">
                  <c:v>3000-3999</c:v>
                </c:pt>
                <c:pt idx="8">
                  <c:v>4000-4999</c:v>
                </c:pt>
                <c:pt idx="9">
                  <c:v>5000-7499</c:v>
                </c:pt>
                <c:pt idx="10">
                  <c:v>7500-10000</c:v>
                </c:pt>
                <c:pt idx="11">
                  <c:v>10000-49999</c:v>
                </c:pt>
                <c:pt idx="12">
                  <c:v>50000+</c:v>
                </c:pt>
              </c:strCache>
            </c:strRef>
          </c:cat>
          <c:val>
            <c:numRef>
              <c:f>Density!$B$144:$B$156</c:f>
              <c:numCache>
                <c:formatCode>General</c:formatCode>
                <c:ptCount val="13"/>
                <c:pt idx="0">
                  <c:v>995.6774</c:v>
                </c:pt>
                <c:pt idx="1">
                  <c:v>984.5622</c:v>
                </c:pt>
                <c:pt idx="2">
                  <c:v>1010.8018</c:v>
                </c:pt>
                <c:pt idx="3">
                  <c:v>970.7138</c:v>
                </c:pt>
                <c:pt idx="4">
                  <c:v>998.6314</c:v>
                </c:pt>
                <c:pt idx="5">
                  <c:v>996.848</c:v>
                </c:pt>
                <c:pt idx="6">
                  <c:v>972.5243</c:v>
                </c:pt>
                <c:pt idx="7">
                  <c:v>993.8505</c:v>
                </c:pt>
                <c:pt idx="8">
                  <c:v>960.4962</c:v>
                </c:pt>
                <c:pt idx="9">
                  <c:v>973.3579</c:v>
                </c:pt>
                <c:pt idx="10">
                  <c:v>1010.2952</c:v>
                </c:pt>
                <c:pt idx="11">
                  <c:v>979.6158</c:v>
                </c:pt>
                <c:pt idx="12">
                  <c:v>911.0536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Density!$C$143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Density!$A$144:$A$156</c:f>
              <c:strCache>
                <c:ptCount val="13"/>
                <c:pt idx="0">
                  <c:v>0-99</c:v>
                </c:pt>
                <c:pt idx="1">
                  <c:v>100-249</c:v>
                </c:pt>
                <c:pt idx="2">
                  <c:v>250-499</c:v>
                </c:pt>
                <c:pt idx="3">
                  <c:v>500-749</c:v>
                </c:pt>
                <c:pt idx="4">
                  <c:v>750-999</c:v>
                </c:pt>
                <c:pt idx="5">
                  <c:v>1000-1999</c:v>
                </c:pt>
                <c:pt idx="6">
                  <c:v>2000-2999</c:v>
                </c:pt>
                <c:pt idx="7">
                  <c:v>3000-3999</c:v>
                </c:pt>
                <c:pt idx="8">
                  <c:v>4000-4999</c:v>
                </c:pt>
                <c:pt idx="9">
                  <c:v>5000-7499</c:v>
                </c:pt>
                <c:pt idx="10">
                  <c:v>7500-10000</c:v>
                </c:pt>
                <c:pt idx="11">
                  <c:v>10000-49999</c:v>
                </c:pt>
                <c:pt idx="12">
                  <c:v>50000+</c:v>
                </c:pt>
              </c:strCache>
            </c:strRef>
          </c:cat>
          <c:val>
            <c:numRef>
              <c:f>Density!$C$144:$C$156</c:f>
              <c:numCache>
                <c:formatCode>General</c:formatCode>
                <c:ptCount val="13"/>
                <c:pt idx="0">
                  <c:v>223.9516</c:v>
                </c:pt>
                <c:pt idx="1">
                  <c:v>252.3622</c:v>
                </c:pt>
                <c:pt idx="2">
                  <c:v>236.7926</c:v>
                </c:pt>
                <c:pt idx="3">
                  <c:v>267.1133</c:v>
                </c:pt>
                <c:pt idx="4">
                  <c:v>251.5936</c:v>
                </c:pt>
                <c:pt idx="5">
                  <c:v>242.9899</c:v>
                </c:pt>
                <c:pt idx="6">
                  <c:v>271.1491</c:v>
                </c:pt>
                <c:pt idx="7">
                  <c:v>267.3065</c:v>
                </c:pt>
                <c:pt idx="8">
                  <c:v>280.9801</c:v>
                </c:pt>
                <c:pt idx="9">
                  <c:v>260.0393</c:v>
                </c:pt>
                <c:pt idx="10">
                  <c:v>238.5665</c:v>
                </c:pt>
                <c:pt idx="11">
                  <c:v>271.4416</c:v>
                </c:pt>
                <c:pt idx="12">
                  <c:v>331.4643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313279"/>
        <c:axId val="31388795"/>
      </c:lineChart>
      <c:lineChart>
        <c:grouping val="standard"/>
        <c:varyColors val="0"/>
        <c:ser>
          <c:idx val="2"/>
          <c:order val="2"/>
          <c:tx>
            <c:strRef>
              <c:f>Density!$D$143</c:f>
              <c:strCache>
                <c:ptCount val="1"/>
                <c:pt idx="0">
                  <c:v>SHOP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Density!$A$144:$A$156</c:f>
              <c:strCache>
                <c:ptCount val="13"/>
                <c:pt idx="0">
                  <c:v>0-99</c:v>
                </c:pt>
                <c:pt idx="1">
                  <c:v>100-249</c:v>
                </c:pt>
                <c:pt idx="2">
                  <c:v>250-499</c:v>
                </c:pt>
                <c:pt idx="3">
                  <c:v>500-749</c:v>
                </c:pt>
                <c:pt idx="4">
                  <c:v>750-999</c:v>
                </c:pt>
                <c:pt idx="5">
                  <c:v>1000-1999</c:v>
                </c:pt>
                <c:pt idx="6">
                  <c:v>2000-2999</c:v>
                </c:pt>
                <c:pt idx="7">
                  <c:v>3000-3999</c:v>
                </c:pt>
                <c:pt idx="8">
                  <c:v>4000-4999</c:v>
                </c:pt>
                <c:pt idx="9">
                  <c:v>5000-7499</c:v>
                </c:pt>
                <c:pt idx="10">
                  <c:v>7500-10000</c:v>
                </c:pt>
                <c:pt idx="11">
                  <c:v>10000-49999</c:v>
                </c:pt>
                <c:pt idx="12">
                  <c:v>50000+</c:v>
                </c:pt>
              </c:strCache>
            </c:strRef>
          </c:cat>
          <c:val>
            <c:numRef>
              <c:f>Density!$D$144:$D$156</c:f>
              <c:numCache>
                <c:formatCode>General</c:formatCode>
                <c:ptCount val="13"/>
                <c:pt idx="0">
                  <c:v>15.5645</c:v>
                </c:pt>
                <c:pt idx="1">
                  <c:v>29.627</c:v>
                </c:pt>
                <c:pt idx="2">
                  <c:v>21.8387</c:v>
                </c:pt>
                <c:pt idx="3">
                  <c:v>20.6395</c:v>
                </c:pt>
                <c:pt idx="4">
                  <c:v>24.4197</c:v>
                </c:pt>
                <c:pt idx="5">
                  <c:v>20.586</c:v>
                </c:pt>
                <c:pt idx="6">
                  <c:v>19.4173</c:v>
                </c:pt>
                <c:pt idx="7">
                  <c:v>19.8282</c:v>
                </c:pt>
                <c:pt idx="8">
                  <c:v>21.5038</c:v>
                </c:pt>
                <c:pt idx="9">
                  <c:v>24.0393</c:v>
                </c:pt>
                <c:pt idx="10">
                  <c:v>24.7766</c:v>
                </c:pt>
                <c:pt idx="11">
                  <c:v>20.2772</c:v>
                </c:pt>
                <c:pt idx="12">
                  <c:v>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Density!$E$143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Density!$A$144:$A$156</c:f>
              <c:strCache>
                <c:ptCount val="13"/>
                <c:pt idx="0">
                  <c:v>0-99</c:v>
                </c:pt>
                <c:pt idx="1">
                  <c:v>100-249</c:v>
                </c:pt>
                <c:pt idx="2">
                  <c:v>250-499</c:v>
                </c:pt>
                <c:pt idx="3">
                  <c:v>500-749</c:v>
                </c:pt>
                <c:pt idx="4">
                  <c:v>750-999</c:v>
                </c:pt>
                <c:pt idx="5">
                  <c:v>1000-1999</c:v>
                </c:pt>
                <c:pt idx="6">
                  <c:v>2000-2999</c:v>
                </c:pt>
                <c:pt idx="7">
                  <c:v>3000-3999</c:v>
                </c:pt>
                <c:pt idx="8">
                  <c:v>4000-4999</c:v>
                </c:pt>
                <c:pt idx="9">
                  <c:v>5000-7499</c:v>
                </c:pt>
                <c:pt idx="10">
                  <c:v>7500-10000</c:v>
                </c:pt>
                <c:pt idx="11">
                  <c:v>10000-49999</c:v>
                </c:pt>
                <c:pt idx="12">
                  <c:v>50000+</c:v>
                </c:pt>
              </c:strCache>
            </c:strRef>
          </c:cat>
          <c:val>
            <c:numRef>
              <c:f>Density!$E$144:$E$156</c:f>
              <c:numCache>
                <c:formatCode>General</c:formatCode>
                <c:ptCount val="13"/>
                <c:pt idx="0">
                  <c:v>153.6774</c:v>
                </c:pt>
                <c:pt idx="1">
                  <c:v>114.0919</c:v>
                </c:pt>
                <c:pt idx="2">
                  <c:v>108.5484</c:v>
                </c:pt>
                <c:pt idx="3">
                  <c:v>113.6456</c:v>
                </c:pt>
                <c:pt idx="4">
                  <c:v>102.0284</c:v>
                </c:pt>
                <c:pt idx="5">
                  <c:v>114.5799</c:v>
                </c:pt>
                <c:pt idx="6">
                  <c:v>111.812</c:v>
                </c:pt>
                <c:pt idx="7">
                  <c:v>100.1506</c:v>
                </c:pt>
                <c:pt idx="8">
                  <c:v>113.6325</c:v>
                </c:pt>
                <c:pt idx="9">
                  <c:v>113.5761</c:v>
                </c:pt>
                <c:pt idx="10">
                  <c:v>105.75</c:v>
                </c:pt>
                <c:pt idx="11">
                  <c:v>97.3446</c:v>
                </c:pt>
                <c:pt idx="12">
                  <c:v>91.2857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Density!$F$143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Density!$A$144:$A$156</c:f>
              <c:strCache>
                <c:ptCount val="13"/>
                <c:pt idx="0">
                  <c:v>0-99</c:v>
                </c:pt>
                <c:pt idx="1">
                  <c:v>100-249</c:v>
                </c:pt>
                <c:pt idx="2">
                  <c:v>250-499</c:v>
                </c:pt>
                <c:pt idx="3">
                  <c:v>500-749</c:v>
                </c:pt>
                <c:pt idx="4">
                  <c:v>750-999</c:v>
                </c:pt>
                <c:pt idx="5">
                  <c:v>1000-1999</c:v>
                </c:pt>
                <c:pt idx="6">
                  <c:v>2000-2999</c:v>
                </c:pt>
                <c:pt idx="7">
                  <c:v>3000-3999</c:v>
                </c:pt>
                <c:pt idx="8">
                  <c:v>4000-4999</c:v>
                </c:pt>
                <c:pt idx="9">
                  <c:v>5000-7499</c:v>
                </c:pt>
                <c:pt idx="10">
                  <c:v>7500-10000</c:v>
                </c:pt>
                <c:pt idx="11">
                  <c:v>10000-49999</c:v>
                </c:pt>
                <c:pt idx="12">
                  <c:v>50000+</c:v>
                </c:pt>
              </c:strCache>
            </c:strRef>
          </c:cat>
          <c:val>
            <c:numRef>
              <c:f>Density!$F$144:$F$156</c:f>
              <c:numCache>
                <c:formatCode>General</c:formatCode>
                <c:ptCount val="13"/>
                <c:pt idx="0">
                  <c:v>51.129</c:v>
                </c:pt>
                <c:pt idx="1">
                  <c:v>59.3568</c:v>
                </c:pt>
                <c:pt idx="2">
                  <c:v>62.0184</c:v>
                </c:pt>
                <c:pt idx="3">
                  <c:v>67.8879</c:v>
                </c:pt>
                <c:pt idx="4">
                  <c:v>63.327</c:v>
                </c:pt>
                <c:pt idx="5">
                  <c:v>64.9961</c:v>
                </c:pt>
                <c:pt idx="6">
                  <c:v>65.0972</c:v>
                </c:pt>
                <c:pt idx="7">
                  <c:v>58.8643</c:v>
                </c:pt>
                <c:pt idx="8">
                  <c:v>63.3874</c:v>
                </c:pt>
                <c:pt idx="9">
                  <c:v>68.9873</c:v>
                </c:pt>
                <c:pt idx="10">
                  <c:v>60.6117</c:v>
                </c:pt>
                <c:pt idx="11">
                  <c:v>71.3208</c:v>
                </c:pt>
                <c:pt idx="12">
                  <c:v>95.1964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494628"/>
        <c:axId val="82849715"/>
      </c:lineChart>
      <c:catAx>
        <c:axId val="71313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Residential Density (ppsm)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388795"/>
        <c:crossesAt val="0"/>
        <c:auto val="1"/>
        <c:lblAlgn val="ctr"/>
        <c:lblOffset val="100"/>
        <c:noMultiLvlLbl val="0"/>
      </c:catAx>
      <c:valAx>
        <c:axId val="313887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(home, work)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313279"/>
        <c:crossesAt val="1"/>
        <c:crossBetween val="midCat"/>
      </c:valAx>
      <c:catAx>
        <c:axId val="88494628"/>
        <c:scaling>
          <c:orientation val="minMax"/>
        </c:scaling>
        <c:delete val="1"/>
        <c:axPos val="t"/>
        <c:numFmt formatCode="General" sourceLinked="1"/>
        <c:majorTickMark val="cross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2849715"/>
        <c:auto val="1"/>
        <c:lblAlgn val="ctr"/>
        <c:lblOffset val="100"/>
        <c:noMultiLvlLbl val="0"/>
      </c:catAx>
      <c:valAx>
        <c:axId val="8284971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(shop, other, travel)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8494628"/>
        <c:crosses val="max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8669306248924"/>
          <c:y val="0.91253698224852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Census Division vs. Activity Duration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393622321873443"/>
          <c:y val="0.153670844864073"/>
          <c:w val="0.951064132678482"/>
          <c:h val="0.72570405339410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CensusD!$B$105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rgbClr val="A0A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CensusD!$A$106:$A$114</c:f>
              <c:strCache>
                <c:ptCount val="9"/>
                <c:pt idx="0">
                  <c:v>New England</c:v>
                </c:pt>
                <c:pt idx="1">
                  <c:v>Middle Atlantic</c:v>
                </c:pt>
                <c:pt idx="2">
                  <c:v>East North Central</c:v>
                </c:pt>
                <c:pt idx="3">
                  <c:v>West North Central</c:v>
                </c:pt>
                <c:pt idx="4">
                  <c:v>South Atlantic</c:v>
                </c:pt>
                <c:pt idx="5">
                  <c:v>East South Central</c:v>
                </c:pt>
                <c:pt idx="6">
                  <c:v>West South Central</c:v>
                </c:pt>
                <c:pt idx="7">
                  <c:v>Mountain</c:v>
                </c:pt>
                <c:pt idx="8">
                  <c:v>Pacific</c:v>
                </c:pt>
              </c:strCache>
            </c:strRef>
          </c:cat>
          <c:val>
            <c:numRef>
              <c:f>CensusD!$B$106:$B$114</c:f>
              <c:numCache>
                <c:formatCode>0</c:formatCode>
                <c:ptCount val="9"/>
                <c:pt idx="0">
                  <c:v>992.6132</c:v>
                </c:pt>
                <c:pt idx="1">
                  <c:v>990.7064</c:v>
                </c:pt>
                <c:pt idx="2">
                  <c:v>977.1837</c:v>
                </c:pt>
                <c:pt idx="3">
                  <c:v>963.2788</c:v>
                </c:pt>
                <c:pt idx="4">
                  <c:v>965.4111</c:v>
                </c:pt>
                <c:pt idx="5">
                  <c:v>994.9474</c:v>
                </c:pt>
                <c:pt idx="6">
                  <c:v>1003.08</c:v>
                </c:pt>
                <c:pt idx="7">
                  <c:v>986.7755</c:v>
                </c:pt>
                <c:pt idx="8">
                  <c:v>987.6028</c:v>
                </c:pt>
              </c:numCache>
            </c:numRef>
          </c:val>
        </c:ser>
        <c:ser>
          <c:idx val="1"/>
          <c:order val="1"/>
          <c:tx>
            <c:strRef>
              <c:f>CensusD!$C$105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rgbClr val="C090B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CensusD!$A$106:$A$114</c:f>
              <c:strCache>
                <c:ptCount val="9"/>
                <c:pt idx="0">
                  <c:v>New England</c:v>
                </c:pt>
                <c:pt idx="1">
                  <c:v>Middle Atlantic</c:v>
                </c:pt>
                <c:pt idx="2">
                  <c:v>East North Central</c:v>
                </c:pt>
                <c:pt idx="3">
                  <c:v>West North Central</c:v>
                </c:pt>
                <c:pt idx="4">
                  <c:v>South Atlantic</c:v>
                </c:pt>
                <c:pt idx="5">
                  <c:v>East South Central</c:v>
                </c:pt>
                <c:pt idx="6">
                  <c:v>West South Central</c:v>
                </c:pt>
                <c:pt idx="7">
                  <c:v>Mountain</c:v>
                </c:pt>
                <c:pt idx="8">
                  <c:v>Pacific</c:v>
                </c:pt>
              </c:strCache>
            </c:strRef>
          </c:cat>
          <c:val>
            <c:numRef>
              <c:f>CensusD!$C$106:$C$114</c:f>
              <c:numCache>
                <c:formatCode>0</c:formatCode>
                <c:ptCount val="9"/>
                <c:pt idx="0">
                  <c:v>250.5188</c:v>
                </c:pt>
                <c:pt idx="1">
                  <c:v>258.6225</c:v>
                </c:pt>
                <c:pt idx="2">
                  <c:v>269.9823</c:v>
                </c:pt>
                <c:pt idx="3">
                  <c:v>251.5934</c:v>
                </c:pt>
                <c:pt idx="4">
                  <c:v>282.2972</c:v>
                </c:pt>
                <c:pt idx="5">
                  <c:v>227.6761</c:v>
                </c:pt>
                <c:pt idx="6">
                  <c:v>239.7141</c:v>
                </c:pt>
                <c:pt idx="7">
                  <c:v>263.1122</c:v>
                </c:pt>
                <c:pt idx="8">
                  <c:v>255.6297</c:v>
                </c:pt>
              </c:numCache>
            </c:numRef>
          </c:val>
        </c:ser>
        <c:ser>
          <c:idx val="2"/>
          <c:order val="2"/>
          <c:tx>
            <c:strRef>
              <c:f>CensusD!$E$105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FFD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CensusD!$A$106:$A$114</c:f>
              <c:strCache>
                <c:ptCount val="9"/>
                <c:pt idx="0">
                  <c:v>New England</c:v>
                </c:pt>
                <c:pt idx="1">
                  <c:v>Middle Atlantic</c:v>
                </c:pt>
                <c:pt idx="2">
                  <c:v>East North Central</c:v>
                </c:pt>
                <c:pt idx="3">
                  <c:v>West North Central</c:v>
                </c:pt>
                <c:pt idx="4">
                  <c:v>South Atlantic</c:v>
                </c:pt>
                <c:pt idx="5">
                  <c:v>East South Central</c:v>
                </c:pt>
                <c:pt idx="6">
                  <c:v>West South Central</c:v>
                </c:pt>
                <c:pt idx="7">
                  <c:v>Mountain</c:v>
                </c:pt>
                <c:pt idx="8">
                  <c:v>Pacific</c:v>
                </c:pt>
              </c:strCache>
            </c:strRef>
          </c:cat>
          <c:val>
            <c:numRef>
              <c:f>CensusD!$E$106:$E$114</c:f>
              <c:numCache>
                <c:formatCode>0</c:formatCode>
                <c:ptCount val="9"/>
                <c:pt idx="0">
                  <c:v>113.0357</c:v>
                </c:pt>
                <c:pt idx="1">
                  <c:v>96.7476</c:v>
                </c:pt>
                <c:pt idx="2">
                  <c:v>109.4794</c:v>
                </c:pt>
                <c:pt idx="3">
                  <c:v>145.0256</c:v>
                </c:pt>
                <c:pt idx="4">
                  <c:v>106.638</c:v>
                </c:pt>
                <c:pt idx="5">
                  <c:v>132.1903</c:v>
                </c:pt>
                <c:pt idx="6">
                  <c:v>112.1052</c:v>
                </c:pt>
                <c:pt idx="7">
                  <c:v>104.898</c:v>
                </c:pt>
                <c:pt idx="8">
                  <c:v>111.106</c:v>
                </c:pt>
              </c:numCache>
            </c:numRef>
          </c:val>
        </c:ser>
        <c:ser>
          <c:idx val="3"/>
          <c:order val="3"/>
          <c:tx>
            <c:strRef>
              <c:f>CensusD!$F$105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rgbClr val="B8E8E8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CensusD!$A$106:$A$114</c:f>
              <c:strCache>
                <c:ptCount val="9"/>
                <c:pt idx="0">
                  <c:v>New England</c:v>
                </c:pt>
                <c:pt idx="1">
                  <c:v>Middle Atlantic</c:v>
                </c:pt>
                <c:pt idx="2">
                  <c:v>East North Central</c:v>
                </c:pt>
                <c:pt idx="3">
                  <c:v>West North Central</c:v>
                </c:pt>
                <c:pt idx="4">
                  <c:v>South Atlantic</c:v>
                </c:pt>
                <c:pt idx="5">
                  <c:v>East South Central</c:v>
                </c:pt>
                <c:pt idx="6">
                  <c:v>West South Central</c:v>
                </c:pt>
                <c:pt idx="7">
                  <c:v>Mountain</c:v>
                </c:pt>
                <c:pt idx="8">
                  <c:v>Pacific</c:v>
                </c:pt>
              </c:strCache>
            </c:strRef>
          </c:cat>
          <c:val>
            <c:numRef>
              <c:f>CensusD!$F$106:$F$114</c:f>
              <c:numCache>
                <c:formatCode>0.00</c:formatCode>
                <c:ptCount val="9"/>
                <c:pt idx="0">
                  <c:v>64.5756</c:v>
                </c:pt>
                <c:pt idx="1">
                  <c:v>70.456</c:v>
                </c:pt>
                <c:pt idx="2">
                  <c:v>62.259</c:v>
                </c:pt>
                <c:pt idx="3">
                  <c:v>61.2762</c:v>
                </c:pt>
                <c:pt idx="4">
                  <c:v>65.4824</c:v>
                </c:pt>
                <c:pt idx="5">
                  <c:v>63.0243</c:v>
                </c:pt>
                <c:pt idx="6">
                  <c:v>62.0252</c:v>
                </c:pt>
                <c:pt idx="7">
                  <c:v>60.0689</c:v>
                </c:pt>
                <c:pt idx="8">
                  <c:v>65.5506</c:v>
                </c:pt>
              </c:numCache>
            </c:numRef>
          </c:val>
        </c:ser>
        <c:ser>
          <c:idx val="4"/>
          <c:order val="4"/>
          <c:tx>
            <c:strRef>
              <c:f>CensusD!$D$105</c:f>
              <c:strCache>
                <c:ptCount val="1"/>
                <c:pt idx="0">
                  <c:v>SHOP</c:v>
                </c:pt>
              </c:strCache>
            </c:strRef>
          </c:tx>
          <c:spPr>
            <a:solidFill>
              <a:srgbClr val="6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CensusD!$A$106:$A$114</c:f>
              <c:strCache>
                <c:ptCount val="9"/>
                <c:pt idx="0">
                  <c:v>New England</c:v>
                </c:pt>
                <c:pt idx="1">
                  <c:v>Middle Atlantic</c:v>
                </c:pt>
                <c:pt idx="2">
                  <c:v>East North Central</c:v>
                </c:pt>
                <c:pt idx="3">
                  <c:v>West North Central</c:v>
                </c:pt>
                <c:pt idx="4">
                  <c:v>South Atlantic</c:v>
                </c:pt>
                <c:pt idx="5">
                  <c:v>East South Central</c:v>
                </c:pt>
                <c:pt idx="6">
                  <c:v>West South Central</c:v>
                </c:pt>
                <c:pt idx="7">
                  <c:v>Mountain</c:v>
                </c:pt>
                <c:pt idx="8">
                  <c:v>Pacific</c:v>
                </c:pt>
              </c:strCache>
            </c:strRef>
          </c:cat>
          <c:val>
            <c:numRef>
              <c:f>CensusD!$D$106:$D$114</c:f>
              <c:numCache>
                <c:formatCode>0</c:formatCode>
                <c:ptCount val="9"/>
                <c:pt idx="0">
                  <c:v>19.2566</c:v>
                </c:pt>
                <c:pt idx="1">
                  <c:v>23.4675</c:v>
                </c:pt>
                <c:pt idx="2">
                  <c:v>21.0956</c:v>
                </c:pt>
                <c:pt idx="3">
                  <c:v>18.8261</c:v>
                </c:pt>
                <c:pt idx="4">
                  <c:v>20.1713</c:v>
                </c:pt>
                <c:pt idx="5">
                  <c:v>22.1619</c:v>
                </c:pt>
                <c:pt idx="6">
                  <c:v>23.0756</c:v>
                </c:pt>
                <c:pt idx="7">
                  <c:v>25.1454</c:v>
                </c:pt>
                <c:pt idx="8">
                  <c:v>20.1109</c:v>
                </c:pt>
              </c:numCache>
            </c:numRef>
          </c:val>
        </c:ser>
        <c:gapWidth val="150"/>
        <c:overlap val="100"/>
        <c:axId val="55204359"/>
        <c:axId val="73119817"/>
      </c:barChart>
      <c:catAx>
        <c:axId val="55204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Census Division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3119817"/>
        <c:crossesAt val="0"/>
        <c:auto val="1"/>
        <c:lblAlgn val="ctr"/>
        <c:lblOffset val="100"/>
        <c:noMultiLvlLbl val="0"/>
      </c:catAx>
      <c:valAx>
        <c:axId val="7311981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Proportion of Day at Activity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C09]0%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520435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415545590433483"/>
          <c:y val="0.91608334689890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Activities by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89935266471579"/>
          <c:y val="0.165219726125481"/>
          <c:w val="0.781856876828944"/>
          <c:h val="0.702318088248456"/>
        </c:manualLayout>
      </c:layout>
      <c:lineChart>
        <c:grouping val="standard"/>
        <c:varyColors val="0"/>
        <c:ser>
          <c:idx val="0"/>
          <c:order val="0"/>
          <c:tx>
            <c:strRef>
              <c:f>Income!$D$7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Income!$C$8:$C$24</c:f>
              <c:strCache>
                <c:ptCount val="17"/>
                <c:pt idx="0">
                  <c:v>5000</c:v>
                </c:pt>
                <c:pt idx="1">
                  <c:v>9999</c:v>
                </c:pt>
                <c:pt idx="2">
                  <c:v>14999</c:v>
                </c:pt>
                <c:pt idx="3">
                  <c:v>19999</c:v>
                </c:pt>
                <c:pt idx="4">
                  <c:v>24999</c:v>
                </c:pt>
                <c:pt idx="5">
                  <c:v>29999</c:v>
                </c:pt>
                <c:pt idx="6">
                  <c:v>34999</c:v>
                </c:pt>
                <c:pt idx="7">
                  <c:v>39999</c:v>
                </c:pt>
                <c:pt idx="8">
                  <c:v>44999</c:v>
                </c:pt>
                <c:pt idx="9">
                  <c:v>49999</c:v>
                </c:pt>
                <c:pt idx="10">
                  <c:v>54999</c:v>
                </c:pt>
                <c:pt idx="11">
                  <c:v>59999</c:v>
                </c:pt>
                <c:pt idx="12">
                  <c:v>64999</c:v>
                </c:pt>
                <c:pt idx="13">
                  <c:v>69999</c:v>
                </c:pt>
                <c:pt idx="14">
                  <c:v>74999</c:v>
                </c:pt>
                <c:pt idx="15">
                  <c:v>79999</c:v>
                </c:pt>
                <c:pt idx="16">
                  <c:v>+</c:v>
                </c:pt>
              </c:strCache>
            </c:strRef>
          </c:cat>
          <c:val>
            <c:numRef>
              <c:f>Income!$D$8:$D$24</c:f>
              <c:numCache>
                <c:formatCode>General</c:formatCode>
                <c:ptCount val="17"/>
                <c:pt idx="0">
                  <c:v>1053.45</c:v>
                </c:pt>
                <c:pt idx="1">
                  <c:v>1067.3627</c:v>
                </c:pt>
                <c:pt idx="2">
                  <c:v>1037.1792</c:v>
                </c:pt>
                <c:pt idx="3">
                  <c:v>1017.1875</c:v>
                </c:pt>
                <c:pt idx="4">
                  <c:v>998.7952</c:v>
                </c:pt>
                <c:pt idx="5">
                  <c:v>1010.973</c:v>
                </c:pt>
                <c:pt idx="6">
                  <c:v>986.3347</c:v>
                </c:pt>
                <c:pt idx="7">
                  <c:v>976.6307</c:v>
                </c:pt>
                <c:pt idx="8">
                  <c:v>972.6529</c:v>
                </c:pt>
                <c:pt idx="9">
                  <c:v>950.9948</c:v>
                </c:pt>
                <c:pt idx="10">
                  <c:v>974.4905</c:v>
                </c:pt>
                <c:pt idx="11">
                  <c:v>974.6</c:v>
                </c:pt>
                <c:pt idx="12">
                  <c:v>966.6007</c:v>
                </c:pt>
                <c:pt idx="13">
                  <c:v>963.0199</c:v>
                </c:pt>
                <c:pt idx="14">
                  <c:v>958.257</c:v>
                </c:pt>
                <c:pt idx="15">
                  <c:v>945.402</c:v>
                </c:pt>
                <c:pt idx="16">
                  <c:v>957.8225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Income!$E$7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Income!$C$8:$C$24</c:f>
              <c:strCache>
                <c:ptCount val="17"/>
                <c:pt idx="0">
                  <c:v>5000</c:v>
                </c:pt>
                <c:pt idx="1">
                  <c:v>9999</c:v>
                </c:pt>
                <c:pt idx="2">
                  <c:v>14999</c:v>
                </c:pt>
                <c:pt idx="3">
                  <c:v>19999</c:v>
                </c:pt>
                <c:pt idx="4">
                  <c:v>24999</c:v>
                </c:pt>
                <c:pt idx="5">
                  <c:v>29999</c:v>
                </c:pt>
                <c:pt idx="6">
                  <c:v>34999</c:v>
                </c:pt>
                <c:pt idx="7">
                  <c:v>39999</c:v>
                </c:pt>
                <c:pt idx="8">
                  <c:v>44999</c:v>
                </c:pt>
                <c:pt idx="9">
                  <c:v>49999</c:v>
                </c:pt>
                <c:pt idx="10">
                  <c:v>54999</c:v>
                </c:pt>
                <c:pt idx="11">
                  <c:v>59999</c:v>
                </c:pt>
                <c:pt idx="12">
                  <c:v>64999</c:v>
                </c:pt>
                <c:pt idx="13">
                  <c:v>69999</c:v>
                </c:pt>
                <c:pt idx="14">
                  <c:v>74999</c:v>
                </c:pt>
                <c:pt idx="15">
                  <c:v>79999</c:v>
                </c:pt>
                <c:pt idx="16">
                  <c:v>+</c:v>
                </c:pt>
              </c:strCache>
            </c:strRef>
          </c:cat>
          <c:val>
            <c:numRef>
              <c:f>Income!$E$8:$E$24</c:f>
              <c:numCache>
                <c:formatCode>General</c:formatCode>
                <c:ptCount val="17"/>
                <c:pt idx="0">
                  <c:v>133.575</c:v>
                </c:pt>
                <c:pt idx="1">
                  <c:v>168.4261</c:v>
                </c:pt>
                <c:pt idx="2">
                  <c:v>209.8428</c:v>
                </c:pt>
                <c:pt idx="3">
                  <c:v>243.5313</c:v>
                </c:pt>
                <c:pt idx="4">
                  <c:v>256.3876</c:v>
                </c:pt>
                <c:pt idx="5">
                  <c:v>240.027</c:v>
                </c:pt>
                <c:pt idx="6">
                  <c:v>250.1275</c:v>
                </c:pt>
                <c:pt idx="7">
                  <c:v>280.7425</c:v>
                </c:pt>
                <c:pt idx="8">
                  <c:v>267.473</c:v>
                </c:pt>
                <c:pt idx="9">
                  <c:v>283.2118</c:v>
                </c:pt>
                <c:pt idx="10">
                  <c:v>282.9847</c:v>
                </c:pt>
                <c:pt idx="11">
                  <c:v>264.9138</c:v>
                </c:pt>
                <c:pt idx="12">
                  <c:v>265.3819</c:v>
                </c:pt>
                <c:pt idx="13">
                  <c:v>271.9858</c:v>
                </c:pt>
                <c:pt idx="14">
                  <c:v>291.0522</c:v>
                </c:pt>
                <c:pt idx="15">
                  <c:v>302.5075</c:v>
                </c:pt>
                <c:pt idx="16">
                  <c:v>277.5252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688785"/>
        <c:axId val="43766443"/>
      </c:lineChart>
      <c:lineChart>
        <c:grouping val="standard"/>
        <c:varyColors val="0"/>
        <c:ser>
          <c:idx val="2"/>
          <c:order val="2"/>
          <c:tx>
            <c:strRef>
              <c:f>Income!$F$7</c:f>
              <c:strCache>
                <c:ptCount val="1"/>
                <c:pt idx="0">
                  <c:v>Shop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Income!$C$8:$C$24</c:f>
              <c:strCache>
                <c:ptCount val="17"/>
                <c:pt idx="0">
                  <c:v>5000</c:v>
                </c:pt>
                <c:pt idx="1">
                  <c:v>9999</c:v>
                </c:pt>
                <c:pt idx="2">
                  <c:v>14999</c:v>
                </c:pt>
                <c:pt idx="3">
                  <c:v>19999</c:v>
                </c:pt>
                <c:pt idx="4">
                  <c:v>24999</c:v>
                </c:pt>
                <c:pt idx="5">
                  <c:v>29999</c:v>
                </c:pt>
                <c:pt idx="6">
                  <c:v>34999</c:v>
                </c:pt>
                <c:pt idx="7">
                  <c:v>39999</c:v>
                </c:pt>
                <c:pt idx="8">
                  <c:v>44999</c:v>
                </c:pt>
                <c:pt idx="9">
                  <c:v>49999</c:v>
                </c:pt>
                <c:pt idx="10">
                  <c:v>54999</c:v>
                </c:pt>
                <c:pt idx="11">
                  <c:v>59999</c:v>
                </c:pt>
                <c:pt idx="12">
                  <c:v>64999</c:v>
                </c:pt>
                <c:pt idx="13">
                  <c:v>69999</c:v>
                </c:pt>
                <c:pt idx="14">
                  <c:v>74999</c:v>
                </c:pt>
                <c:pt idx="15">
                  <c:v>79999</c:v>
                </c:pt>
                <c:pt idx="16">
                  <c:v>+</c:v>
                </c:pt>
              </c:strCache>
            </c:strRef>
          </c:cat>
          <c:val>
            <c:numRef>
              <c:f>Income!$F$8:$F$24</c:f>
              <c:numCache>
                <c:formatCode>General</c:formatCode>
                <c:ptCount val="17"/>
                <c:pt idx="0">
                  <c:v>19.25</c:v>
                </c:pt>
                <c:pt idx="1">
                  <c:v>18.6725</c:v>
                </c:pt>
                <c:pt idx="2">
                  <c:v>17.5566</c:v>
                </c:pt>
                <c:pt idx="3">
                  <c:v>20.6465</c:v>
                </c:pt>
                <c:pt idx="4">
                  <c:v>20.8333</c:v>
                </c:pt>
                <c:pt idx="5">
                  <c:v>18.8551</c:v>
                </c:pt>
                <c:pt idx="6">
                  <c:v>25.1975</c:v>
                </c:pt>
                <c:pt idx="7">
                  <c:v>18.7464</c:v>
                </c:pt>
                <c:pt idx="8">
                  <c:v>23.7194</c:v>
                </c:pt>
                <c:pt idx="9">
                  <c:v>24.4167</c:v>
                </c:pt>
                <c:pt idx="10">
                  <c:v>27.0763</c:v>
                </c:pt>
                <c:pt idx="11">
                  <c:v>20.5853</c:v>
                </c:pt>
                <c:pt idx="12">
                  <c:v>15.5799</c:v>
                </c:pt>
                <c:pt idx="13">
                  <c:v>23.4473</c:v>
                </c:pt>
                <c:pt idx="14">
                  <c:v>22.1928</c:v>
                </c:pt>
                <c:pt idx="15">
                  <c:v>21.5879</c:v>
                </c:pt>
                <c:pt idx="16">
                  <c:v>19.6345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Income!$G$7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Income!$C$8:$C$24</c:f>
              <c:strCache>
                <c:ptCount val="17"/>
                <c:pt idx="0">
                  <c:v>5000</c:v>
                </c:pt>
                <c:pt idx="1">
                  <c:v>9999</c:v>
                </c:pt>
                <c:pt idx="2">
                  <c:v>14999</c:v>
                </c:pt>
                <c:pt idx="3">
                  <c:v>19999</c:v>
                </c:pt>
                <c:pt idx="4">
                  <c:v>24999</c:v>
                </c:pt>
                <c:pt idx="5">
                  <c:v>29999</c:v>
                </c:pt>
                <c:pt idx="6">
                  <c:v>34999</c:v>
                </c:pt>
                <c:pt idx="7">
                  <c:v>39999</c:v>
                </c:pt>
                <c:pt idx="8">
                  <c:v>44999</c:v>
                </c:pt>
                <c:pt idx="9">
                  <c:v>49999</c:v>
                </c:pt>
                <c:pt idx="10">
                  <c:v>54999</c:v>
                </c:pt>
                <c:pt idx="11">
                  <c:v>59999</c:v>
                </c:pt>
                <c:pt idx="12">
                  <c:v>64999</c:v>
                </c:pt>
                <c:pt idx="13">
                  <c:v>69999</c:v>
                </c:pt>
                <c:pt idx="14">
                  <c:v>74999</c:v>
                </c:pt>
                <c:pt idx="15">
                  <c:v>79999</c:v>
                </c:pt>
                <c:pt idx="16">
                  <c:v>+</c:v>
                </c:pt>
              </c:strCache>
            </c:strRef>
          </c:cat>
          <c:val>
            <c:numRef>
              <c:f>Income!$G$8:$G$24</c:f>
              <c:numCache>
                <c:formatCode>General</c:formatCode>
                <c:ptCount val="17"/>
                <c:pt idx="0">
                  <c:v>170.0167</c:v>
                </c:pt>
                <c:pt idx="1">
                  <c:v>129.5282</c:v>
                </c:pt>
                <c:pt idx="2">
                  <c:v>119.9465</c:v>
                </c:pt>
                <c:pt idx="3">
                  <c:v>100.7461</c:v>
                </c:pt>
                <c:pt idx="4">
                  <c:v>106.4378</c:v>
                </c:pt>
                <c:pt idx="5">
                  <c:v>111.1619</c:v>
                </c:pt>
                <c:pt idx="6">
                  <c:v>116.07</c:v>
                </c:pt>
                <c:pt idx="7">
                  <c:v>102.4369</c:v>
                </c:pt>
                <c:pt idx="8">
                  <c:v>109.7482</c:v>
                </c:pt>
                <c:pt idx="9">
                  <c:v>112.5729</c:v>
                </c:pt>
                <c:pt idx="10">
                  <c:v>88.1374</c:v>
                </c:pt>
                <c:pt idx="11">
                  <c:v>109.0862</c:v>
                </c:pt>
                <c:pt idx="12">
                  <c:v>119.9965</c:v>
                </c:pt>
                <c:pt idx="13">
                  <c:v>110.3732</c:v>
                </c:pt>
                <c:pt idx="14">
                  <c:v>98.0763</c:v>
                </c:pt>
                <c:pt idx="15">
                  <c:v>102.3518</c:v>
                </c:pt>
                <c:pt idx="16">
                  <c:v>112.7132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Income!$H$7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Income!$C$8:$C$24</c:f>
              <c:strCache>
                <c:ptCount val="17"/>
                <c:pt idx="0">
                  <c:v>5000</c:v>
                </c:pt>
                <c:pt idx="1">
                  <c:v>9999</c:v>
                </c:pt>
                <c:pt idx="2">
                  <c:v>14999</c:v>
                </c:pt>
                <c:pt idx="3">
                  <c:v>19999</c:v>
                </c:pt>
                <c:pt idx="4">
                  <c:v>24999</c:v>
                </c:pt>
                <c:pt idx="5">
                  <c:v>29999</c:v>
                </c:pt>
                <c:pt idx="6">
                  <c:v>34999</c:v>
                </c:pt>
                <c:pt idx="7">
                  <c:v>39999</c:v>
                </c:pt>
                <c:pt idx="8">
                  <c:v>44999</c:v>
                </c:pt>
                <c:pt idx="9">
                  <c:v>49999</c:v>
                </c:pt>
                <c:pt idx="10">
                  <c:v>54999</c:v>
                </c:pt>
                <c:pt idx="11">
                  <c:v>59999</c:v>
                </c:pt>
                <c:pt idx="12">
                  <c:v>64999</c:v>
                </c:pt>
                <c:pt idx="13">
                  <c:v>69999</c:v>
                </c:pt>
                <c:pt idx="14">
                  <c:v>74999</c:v>
                </c:pt>
                <c:pt idx="15">
                  <c:v>79999</c:v>
                </c:pt>
                <c:pt idx="16">
                  <c:v>+</c:v>
                </c:pt>
              </c:strCache>
            </c:strRef>
          </c:cat>
          <c:val>
            <c:numRef>
              <c:f>Income!$H$8:$H$24</c:f>
              <c:numCache>
                <c:formatCode>General</c:formatCode>
                <c:ptCount val="17"/>
                <c:pt idx="0">
                  <c:v>63.7083</c:v>
                </c:pt>
                <c:pt idx="1">
                  <c:v>56.0106</c:v>
                </c:pt>
                <c:pt idx="2">
                  <c:v>55.4748</c:v>
                </c:pt>
                <c:pt idx="3">
                  <c:v>57.8887</c:v>
                </c:pt>
                <c:pt idx="4">
                  <c:v>57.5462</c:v>
                </c:pt>
                <c:pt idx="5">
                  <c:v>58.983</c:v>
                </c:pt>
                <c:pt idx="6">
                  <c:v>62.2703</c:v>
                </c:pt>
                <c:pt idx="7">
                  <c:v>61.4434</c:v>
                </c:pt>
                <c:pt idx="8">
                  <c:v>66.4065</c:v>
                </c:pt>
                <c:pt idx="9">
                  <c:v>68.8038</c:v>
                </c:pt>
                <c:pt idx="10">
                  <c:v>67.3111</c:v>
                </c:pt>
                <c:pt idx="11">
                  <c:v>70.8147</c:v>
                </c:pt>
                <c:pt idx="12">
                  <c:v>72.441</c:v>
                </c:pt>
                <c:pt idx="13">
                  <c:v>71.1738</c:v>
                </c:pt>
                <c:pt idx="14">
                  <c:v>70.4217</c:v>
                </c:pt>
                <c:pt idx="15">
                  <c:v>68.1508</c:v>
                </c:pt>
                <c:pt idx="16">
                  <c:v>72.3046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289615"/>
        <c:axId val="12271572"/>
      </c:lineChart>
      <c:catAx>
        <c:axId val="94688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Household Income ($US1990)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3766443"/>
        <c:crossesAt val="50"/>
        <c:auto val="1"/>
        <c:lblAlgn val="ctr"/>
        <c:lblOffset val="100"/>
        <c:noMultiLvlLbl val="0"/>
      </c:catAx>
      <c:valAx>
        <c:axId val="43766443"/>
        <c:scaling>
          <c:orientation val="minMax"/>
          <c:max val="1100"/>
          <c:min val="1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Duration (minutes) Home, Work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cross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4688785"/>
        <c:crossesAt val="1"/>
        <c:crossBetween val="midCat"/>
      </c:valAx>
      <c:catAx>
        <c:axId val="83289615"/>
        <c:scaling>
          <c:orientation val="minMax"/>
        </c:scaling>
        <c:delete val="1"/>
        <c:axPos val="t"/>
        <c:numFmt formatCode="General" sourceLinked="1"/>
        <c:majorTickMark val="cross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2271572"/>
        <c:auto val="1"/>
        <c:lblAlgn val="ctr"/>
        <c:lblOffset val="100"/>
        <c:noMultiLvlLbl val="0"/>
      </c:catAx>
      <c:valAx>
        <c:axId val="1227157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Duration (minutes) Shop, Other, Travel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3289615"/>
        <c:crosses val="max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27188081936685"/>
          <c:y val="0.90790298039917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Life Cycle and Time 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94472831163123"/>
          <c:y val="0.14483069299497"/>
          <c:w val="0.85110708202846"/>
          <c:h val="0.7435242886102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Relate!$D$115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rgbClr val="808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Relate!$B$116:$C$125</c:f>
              <c:multiLvlStrCache>
                <c:ptCount val="10"/>
                <c:lvl>
                  <c:pt idx="0">
                    <c:v>None</c:v>
                  </c:pt>
                  <c:pt idx="1">
                    <c:v>None</c:v>
                  </c:pt>
                  <c:pt idx="2">
                    <c:v>0-5</c:v>
                  </c:pt>
                  <c:pt idx="3">
                    <c:v>0-5</c:v>
                  </c:pt>
                  <c:pt idx="4">
                    <c:v>6-15</c:v>
                  </c:pt>
                  <c:pt idx="5">
                    <c:v>6-15</c:v>
                  </c:pt>
                  <c:pt idx="6">
                    <c:v>16-21</c:v>
                  </c:pt>
                  <c:pt idx="7">
                    <c:v>16-21</c:v>
                  </c:pt>
                  <c:pt idx="8">
                    <c:v>retired</c:v>
                  </c:pt>
                  <c:pt idx="9">
                    <c:v>retired</c:v>
                  </c:pt>
                </c:lvl>
                <c:lvl>
                  <c:pt idx="0">
                    <c:v>Single</c:v>
                  </c:pt>
                  <c:pt idx="1">
                    <c:v>Couple</c:v>
                  </c:pt>
                  <c:pt idx="2">
                    <c:v>Single</c:v>
                  </c:pt>
                  <c:pt idx="3">
                    <c:v>Couple</c:v>
                  </c:pt>
                  <c:pt idx="4">
                    <c:v>Single</c:v>
                  </c:pt>
                  <c:pt idx="5">
                    <c:v>Couple</c:v>
                  </c:pt>
                  <c:pt idx="6">
                    <c:v>Single</c:v>
                  </c:pt>
                  <c:pt idx="7">
                    <c:v>Couple</c:v>
                  </c:pt>
                  <c:pt idx="8">
                    <c:v>Single</c:v>
                  </c:pt>
                  <c:pt idx="9">
                    <c:v>Couple</c:v>
                  </c:pt>
                </c:lvl>
              </c:multiLvlStrCache>
            </c:multiLvlStrRef>
          </c:cat>
          <c:val>
            <c:numRef>
              <c:f>Relate!$D$116:$D$125</c:f>
              <c:numCache>
                <c:formatCode>0</c:formatCode>
                <c:ptCount val="10"/>
                <c:pt idx="0">
                  <c:v>951.7458</c:v>
                </c:pt>
                <c:pt idx="1">
                  <c:v>961.4885</c:v>
                </c:pt>
                <c:pt idx="2">
                  <c:v>1048.0833</c:v>
                </c:pt>
                <c:pt idx="3">
                  <c:v>1004.7092</c:v>
                </c:pt>
                <c:pt idx="4">
                  <c:v>982.6233</c:v>
                </c:pt>
                <c:pt idx="5">
                  <c:v>981.0131</c:v>
                </c:pt>
                <c:pt idx="6">
                  <c:v>973.6441</c:v>
                </c:pt>
                <c:pt idx="7">
                  <c:v>973.4725</c:v>
                </c:pt>
                <c:pt idx="8">
                  <c:v>1180.1667</c:v>
                </c:pt>
                <c:pt idx="9">
                  <c:v>1110.7553</c:v>
                </c:pt>
              </c:numCache>
            </c:numRef>
          </c:val>
        </c:ser>
        <c:ser>
          <c:idx val="1"/>
          <c:order val="1"/>
          <c:tx>
            <c:strRef>
              <c:f>Relate!$G$115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rgbClr val="80206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Relate!$B$116:$C$125</c:f>
              <c:multiLvlStrCache>
                <c:ptCount val="10"/>
                <c:lvl>
                  <c:pt idx="0">
                    <c:v>None</c:v>
                  </c:pt>
                  <c:pt idx="1">
                    <c:v>None</c:v>
                  </c:pt>
                  <c:pt idx="2">
                    <c:v>0-5</c:v>
                  </c:pt>
                  <c:pt idx="3">
                    <c:v>0-5</c:v>
                  </c:pt>
                  <c:pt idx="4">
                    <c:v>6-15</c:v>
                  </c:pt>
                  <c:pt idx="5">
                    <c:v>6-15</c:v>
                  </c:pt>
                  <c:pt idx="6">
                    <c:v>16-21</c:v>
                  </c:pt>
                  <c:pt idx="7">
                    <c:v>16-21</c:v>
                  </c:pt>
                  <c:pt idx="8">
                    <c:v>retired</c:v>
                  </c:pt>
                  <c:pt idx="9">
                    <c:v>retired</c:v>
                  </c:pt>
                </c:lvl>
                <c:lvl>
                  <c:pt idx="0">
                    <c:v>Single</c:v>
                  </c:pt>
                  <c:pt idx="1">
                    <c:v>Couple</c:v>
                  </c:pt>
                  <c:pt idx="2">
                    <c:v>Single</c:v>
                  </c:pt>
                  <c:pt idx="3">
                    <c:v>Couple</c:v>
                  </c:pt>
                  <c:pt idx="4">
                    <c:v>Single</c:v>
                  </c:pt>
                  <c:pt idx="5">
                    <c:v>Couple</c:v>
                  </c:pt>
                  <c:pt idx="6">
                    <c:v>Single</c:v>
                  </c:pt>
                  <c:pt idx="7">
                    <c:v>Couple</c:v>
                  </c:pt>
                  <c:pt idx="8">
                    <c:v>Single</c:v>
                  </c:pt>
                  <c:pt idx="9">
                    <c:v>Couple</c:v>
                  </c:pt>
                </c:lvl>
              </c:multiLvlStrCache>
            </c:multiLvlStrRef>
          </c:cat>
          <c:val>
            <c:numRef>
              <c:f>Relate!$G$116:$G$125</c:f>
              <c:numCache>
                <c:formatCode>0</c:formatCode>
                <c:ptCount val="10"/>
                <c:pt idx="0">
                  <c:v>272.5495</c:v>
                </c:pt>
                <c:pt idx="1">
                  <c:v>280.964</c:v>
                </c:pt>
                <c:pt idx="2">
                  <c:v>176.7738</c:v>
                </c:pt>
                <c:pt idx="3">
                  <c:v>253.1454</c:v>
                </c:pt>
                <c:pt idx="4">
                  <c:v>252.9041</c:v>
                </c:pt>
                <c:pt idx="5">
                  <c:v>264.7177</c:v>
                </c:pt>
                <c:pt idx="6">
                  <c:v>220.2034</c:v>
                </c:pt>
                <c:pt idx="7">
                  <c:v>266.646</c:v>
                </c:pt>
                <c:pt idx="8">
                  <c:v>0</c:v>
                </c:pt>
                <c:pt idx="9">
                  <c:v>136.9976</c:v>
                </c:pt>
              </c:numCache>
            </c:numRef>
          </c:val>
        </c:ser>
        <c:ser>
          <c:idx val="2"/>
          <c:order val="2"/>
          <c:spPr>
            <a:solidFill>
              <a:srgbClr val="FFFFC0"/>
            </a:solidFill>
            <a:ln w="12600">
              <a:solidFill>
                <a:srgbClr val="000000"/>
              </a:solidFill>
              <a:round/>
            </a:ln>
          </c:spPr>
          <c:invertIfNegative val="0"/>
          <c:cat>
            <c:multiLvlStrRef>
              <c:f>Relate!$B$116:$C$125</c:f>
              <c:multiLvlStrCache>
                <c:ptCount val="10"/>
                <c:lvl>
                  <c:pt idx="0">
                    <c:v>None</c:v>
                  </c:pt>
                  <c:pt idx="1">
                    <c:v>None</c:v>
                  </c:pt>
                  <c:pt idx="2">
                    <c:v>0-5</c:v>
                  </c:pt>
                  <c:pt idx="3">
                    <c:v>0-5</c:v>
                  </c:pt>
                  <c:pt idx="4">
                    <c:v>6-15</c:v>
                  </c:pt>
                  <c:pt idx="5">
                    <c:v>6-15</c:v>
                  </c:pt>
                  <c:pt idx="6">
                    <c:v>16-21</c:v>
                  </c:pt>
                  <c:pt idx="7">
                    <c:v>16-21</c:v>
                  </c:pt>
                  <c:pt idx="8">
                    <c:v>retired</c:v>
                  </c:pt>
                  <c:pt idx="9">
                    <c:v>retired</c:v>
                  </c:pt>
                </c:lvl>
                <c:lvl>
                  <c:pt idx="0">
                    <c:v>Single</c:v>
                  </c:pt>
                  <c:pt idx="1">
                    <c:v>Couple</c:v>
                  </c:pt>
                  <c:pt idx="2">
                    <c:v>Single</c:v>
                  </c:pt>
                  <c:pt idx="3">
                    <c:v>Couple</c:v>
                  </c:pt>
                  <c:pt idx="4">
                    <c:v>Single</c:v>
                  </c:pt>
                  <c:pt idx="5">
                    <c:v>Couple</c:v>
                  </c:pt>
                  <c:pt idx="6">
                    <c:v>Single</c:v>
                  </c:pt>
                  <c:pt idx="7">
                    <c:v>Couple</c:v>
                  </c:pt>
                  <c:pt idx="8">
                    <c:v>Single</c:v>
                  </c:pt>
                  <c:pt idx="9">
                    <c:v>Couple</c:v>
                  </c:pt>
                </c:lvl>
              </c:multiLvlStrCache>
            </c:multiLvlStrRef>
          </c:cat>
        </c:ser>
        <c:ser>
          <c:idx val="3"/>
          <c:order val="3"/>
          <c:spPr>
            <a:solidFill>
              <a:srgbClr val="A0E0E0"/>
            </a:solidFill>
            <a:ln w="12600">
              <a:solidFill>
                <a:srgbClr val="000000"/>
              </a:solidFill>
              <a:round/>
            </a:ln>
          </c:spPr>
          <c:invertIfNegative val="0"/>
          <c:cat>
            <c:multiLvlStrRef>
              <c:f>Relate!$B$116:$C$125</c:f>
              <c:multiLvlStrCache>
                <c:ptCount val="10"/>
                <c:lvl>
                  <c:pt idx="0">
                    <c:v>None</c:v>
                  </c:pt>
                  <c:pt idx="1">
                    <c:v>None</c:v>
                  </c:pt>
                  <c:pt idx="2">
                    <c:v>0-5</c:v>
                  </c:pt>
                  <c:pt idx="3">
                    <c:v>0-5</c:v>
                  </c:pt>
                  <c:pt idx="4">
                    <c:v>6-15</c:v>
                  </c:pt>
                  <c:pt idx="5">
                    <c:v>6-15</c:v>
                  </c:pt>
                  <c:pt idx="6">
                    <c:v>16-21</c:v>
                  </c:pt>
                  <c:pt idx="7">
                    <c:v>16-21</c:v>
                  </c:pt>
                  <c:pt idx="8">
                    <c:v>retired</c:v>
                  </c:pt>
                  <c:pt idx="9">
                    <c:v>retired</c:v>
                  </c:pt>
                </c:lvl>
                <c:lvl>
                  <c:pt idx="0">
                    <c:v>Single</c:v>
                  </c:pt>
                  <c:pt idx="1">
                    <c:v>Couple</c:v>
                  </c:pt>
                  <c:pt idx="2">
                    <c:v>Single</c:v>
                  </c:pt>
                  <c:pt idx="3">
                    <c:v>Couple</c:v>
                  </c:pt>
                  <c:pt idx="4">
                    <c:v>Single</c:v>
                  </c:pt>
                  <c:pt idx="5">
                    <c:v>Couple</c:v>
                  </c:pt>
                  <c:pt idx="6">
                    <c:v>Single</c:v>
                  </c:pt>
                  <c:pt idx="7">
                    <c:v>Couple</c:v>
                  </c:pt>
                  <c:pt idx="8">
                    <c:v>Single</c:v>
                  </c:pt>
                  <c:pt idx="9">
                    <c:v>Couple</c:v>
                  </c:pt>
                </c:lvl>
              </c:multiLvlStrCache>
            </c:multiLvlStrRef>
          </c:cat>
        </c:ser>
        <c:ser>
          <c:idx val="4"/>
          <c:order val="4"/>
          <c:spPr>
            <a:solidFill>
              <a:srgbClr val="6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cat>
            <c:multiLvlStrRef>
              <c:f>Relate!$B$116:$C$125</c:f>
              <c:multiLvlStrCache>
                <c:ptCount val="10"/>
                <c:lvl>
                  <c:pt idx="0">
                    <c:v>None</c:v>
                  </c:pt>
                  <c:pt idx="1">
                    <c:v>None</c:v>
                  </c:pt>
                  <c:pt idx="2">
                    <c:v>0-5</c:v>
                  </c:pt>
                  <c:pt idx="3">
                    <c:v>0-5</c:v>
                  </c:pt>
                  <c:pt idx="4">
                    <c:v>6-15</c:v>
                  </c:pt>
                  <c:pt idx="5">
                    <c:v>6-15</c:v>
                  </c:pt>
                  <c:pt idx="6">
                    <c:v>16-21</c:v>
                  </c:pt>
                  <c:pt idx="7">
                    <c:v>16-21</c:v>
                  </c:pt>
                  <c:pt idx="8">
                    <c:v>retired</c:v>
                  </c:pt>
                  <c:pt idx="9">
                    <c:v>retired</c:v>
                  </c:pt>
                </c:lvl>
                <c:lvl>
                  <c:pt idx="0">
                    <c:v>Single</c:v>
                  </c:pt>
                  <c:pt idx="1">
                    <c:v>Couple</c:v>
                  </c:pt>
                  <c:pt idx="2">
                    <c:v>Single</c:v>
                  </c:pt>
                  <c:pt idx="3">
                    <c:v>Couple</c:v>
                  </c:pt>
                  <c:pt idx="4">
                    <c:v>Single</c:v>
                  </c:pt>
                  <c:pt idx="5">
                    <c:v>Couple</c:v>
                  </c:pt>
                  <c:pt idx="6">
                    <c:v>Single</c:v>
                  </c:pt>
                  <c:pt idx="7">
                    <c:v>Couple</c:v>
                  </c:pt>
                  <c:pt idx="8">
                    <c:v>Single</c:v>
                  </c:pt>
                  <c:pt idx="9">
                    <c:v>Couple</c:v>
                  </c:pt>
                </c:lvl>
              </c:multiLvlStrCache>
            </c:multiLvlStrRef>
          </c:cat>
        </c:ser>
        <c:gapWidth val="150"/>
        <c:overlap val="100"/>
        <c:axId val="31287865"/>
        <c:axId val="74044346"/>
      </c:barChart>
      <c:catAx>
        <c:axId val="312878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Life Cycle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4044346"/>
        <c:crossesAt val="0"/>
        <c:auto val="1"/>
        <c:lblAlgn val="ctr"/>
        <c:lblOffset val="100"/>
        <c:noMultiLvlLbl val="0"/>
      </c:catAx>
      <c:valAx>
        <c:axId val="740443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Proportion of Day at Activities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C09]0%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28786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44651392780616"/>
          <c:y val="0.92251670545836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12600</xdr:colOff>
      <xdr:row>157</xdr:row>
      <xdr:rowOff>28080</xdr:rowOff>
    </xdr:from>
    <xdr:to>
      <xdr:col>8</xdr:col>
      <xdr:colOff>909720</xdr:colOff>
      <xdr:row>178</xdr:row>
      <xdr:rowOff>14400</xdr:rowOff>
    </xdr:to>
    <xdr:graphicFrame>
      <xdr:nvGraphicFramePr>
        <xdr:cNvPr id="1" name="Chart 3"/>
        <xdr:cNvGraphicFramePr/>
      </xdr:nvGraphicFramePr>
      <xdr:xfrm>
        <a:off x="12600" y="29238840"/>
        <a:ext cx="8364600" cy="389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116</xdr:row>
      <xdr:rowOff>157680</xdr:rowOff>
    </xdr:from>
    <xdr:to>
      <xdr:col>10</xdr:col>
      <xdr:colOff>809640</xdr:colOff>
      <xdr:row>140</xdr:row>
      <xdr:rowOff>114840</xdr:rowOff>
    </xdr:to>
    <xdr:graphicFrame>
      <xdr:nvGraphicFramePr>
        <xdr:cNvPr id="2" name="Chart 1"/>
        <xdr:cNvGraphicFramePr/>
      </xdr:nvGraphicFramePr>
      <xdr:xfrm>
        <a:off x="0" y="21740040"/>
        <a:ext cx="10114920" cy="44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24480</xdr:colOff>
      <xdr:row>25</xdr:row>
      <xdr:rowOff>43200</xdr:rowOff>
    </xdr:from>
    <xdr:to>
      <xdr:col>9</xdr:col>
      <xdr:colOff>1080</xdr:colOff>
      <xdr:row>46</xdr:row>
      <xdr:rowOff>157680</xdr:rowOff>
    </xdr:to>
    <xdr:graphicFrame>
      <xdr:nvGraphicFramePr>
        <xdr:cNvPr id="3" name="Chart 1"/>
        <xdr:cNvGraphicFramePr/>
      </xdr:nvGraphicFramePr>
      <xdr:xfrm>
        <a:off x="24480" y="4694400"/>
        <a:ext cx="8119080" cy="402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161280</xdr:colOff>
      <xdr:row>134</xdr:row>
      <xdr:rowOff>0</xdr:rowOff>
    </xdr:from>
    <xdr:to>
      <xdr:col>9</xdr:col>
      <xdr:colOff>720</xdr:colOff>
      <xdr:row>159</xdr:row>
      <xdr:rowOff>143280</xdr:rowOff>
    </xdr:to>
    <xdr:graphicFrame>
      <xdr:nvGraphicFramePr>
        <xdr:cNvPr id="4" name="Chart 1"/>
        <xdr:cNvGraphicFramePr/>
      </xdr:nvGraphicFramePr>
      <xdr:xfrm>
        <a:off x="161280" y="24931440"/>
        <a:ext cx="6552000" cy="479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65" hidden="false" customHeight="false" outlineLevel="0" collapsed="false">
      <c r="A2" s="1" t="s">
        <v>3</v>
      </c>
      <c r="B2" s="1" t="s">
        <v>4</v>
      </c>
      <c r="C2" s="1" t="s">
        <v>1</v>
      </c>
      <c r="D2" s="1" t="s">
        <v>5</v>
      </c>
    </row>
    <row r="4" customFormat="false" ht="14.65" hidden="false" customHeight="false" outlineLevel="0" collapsed="false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6" customFormat="false" ht="14.65" hidden="false" customHeight="false" outlineLevel="0" collapsed="false">
      <c r="A6" s="1" t="s">
        <v>12</v>
      </c>
      <c r="B6" s="1" t="s">
        <v>13</v>
      </c>
      <c r="C6" s="1" t="n">
        <v>984.1785</v>
      </c>
      <c r="D6" s="1" t="n">
        <v>257.4312</v>
      </c>
      <c r="E6" s="1" t="n">
        <v>8159</v>
      </c>
      <c r="F6" s="1" t="s">
        <v>11</v>
      </c>
    </row>
    <row r="8" customFormat="false" ht="14.65" hidden="false" customHeight="false" outlineLevel="0" collapsed="false">
      <c r="A8" s="1" t="s">
        <v>5</v>
      </c>
      <c r="B8" s="1" t="n">
        <v>1</v>
      </c>
      <c r="C8" s="1" t="n">
        <v>995.6774</v>
      </c>
      <c r="D8" s="1" t="n">
        <v>264.5887</v>
      </c>
      <c r="E8" s="1" t="n">
        <v>62</v>
      </c>
      <c r="F8" s="1" t="n">
        <f aca="false">(C8-$C$6)/(SQRT((D8^2/E8)+($D$6^2/$E$6)))</f>
        <v>0.340976471789189</v>
      </c>
    </row>
    <row r="9" customFormat="false" ht="14.65" hidden="false" customHeight="false" outlineLevel="0" collapsed="false">
      <c r="A9" s="1" t="s">
        <v>5</v>
      </c>
      <c r="B9" s="1" t="n">
        <v>2</v>
      </c>
      <c r="C9" s="1" t="n">
        <v>984.5622</v>
      </c>
      <c r="D9" s="1" t="n">
        <v>261.0428</v>
      </c>
      <c r="E9" s="1" t="n">
        <v>185</v>
      </c>
      <c r="F9" s="1" t="n">
        <f aca="false">(C9-$C$6)/(SQRT((D9^2/E9)+($D$6^2/$E$6)))</f>
        <v>0.0197755969443104</v>
      </c>
    </row>
    <row r="10" customFormat="false" ht="14.65" hidden="false" customHeight="false" outlineLevel="0" collapsed="false">
      <c r="A10" s="1" t="s">
        <v>5</v>
      </c>
      <c r="B10" s="1" t="n">
        <v>3</v>
      </c>
      <c r="C10" s="1" t="n">
        <v>1010.8018</v>
      </c>
      <c r="D10" s="1" t="n">
        <v>240.9178</v>
      </c>
      <c r="E10" s="1" t="n">
        <v>217</v>
      </c>
      <c r="F10" s="1" t="n">
        <f aca="false">(C10-$C$6)/(SQRT((D10^2/E10)+($D$6^2/$E$6)))</f>
        <v>1.6037136022714</v>
      </c>
    </row>
    <row r="11" customFormat="false" ht="14.65" hidden="false" customHeight="false" outlineLevel="0" collapsed="false">
      <c r="A11" s="1" t="s">
        <v>5</v>
      </c>
      <c r="B11" s="1" t="n">
        <v>4</v>
      </c>
      <c r="C11" s="1" t="n">
        <v>970.7138</v>
      </c>
      <c r="D11" s="1" t="n">
        <v>259.1021</v>
      </c>
      <c r="E11" s="1" t="n">
        <v>821</v>
      </c>
      <c r="F11" s="1" t="n">
        <f aca="false">(C11-$C$6)/(SQRT((D11^2/E11)+($D$6^2/$E$6)))</f>
        <v>-1.42014602777056</v>
      </c>
    </row>
    <row r="12" customFormat="false" ht="14.65" hidden="false" customHeight="false" outlineLevel="0" collapsed="false">
      <c r="A12" s="1" t="s">
        <v>5</v>
      </c>
      <c r="B12" s="1" t="n">
        <v>5</v>
      </c>
      <c r="C12" s="1" t="n">
        <v>998.6314</v>
      </c>
      <c r="D12" s="1" t="n">
        <v>258.4261</v>
      </c>
      <c r="E12" s="1" t="n">
        <v>529</v>
      </c>
      <c r="F12" s="1" t="n">
        <f aca="false">(C12-$C$6)/(SQRT((D12^2/E12)+($D$6^2/$E$6)))</f>
        <v>1.24682830285887</v>
      </c>
    </row>
    <row r="13" customFormat="false" ht="14.65" hidden="false" customHeight="false" outlineLevel="0" collapsed="false">
      <c r="A13" s="1" t="s">
        <v>5</v>
      </c>
      <c r="B13" s="1" t="n">
        <v>6</v>
      </c>
      <c r="C13" s="1" t="n">
        <v>996.848</v>
      </c>
      <c r="D13" s="1" t="n">
        <v>255.5633</v>
      </c>
      <c r="E13" s="1" t="n">
        <v>1790</v>
      </c>
      <c r="F13" s="1" t="n">
        <f aca="false">(C13-$C$6)/(SQRT((D13^2/E13)+($D$6^2/$E$6)))</f>
        <v>1.89689731593627</v>
      </c>
    </row>
    <row r="14" customFormat="false" ht="14.65" hidden="false" customHeight="false" outlineLevel="0" collapsed="false">
      <c r="A14" s="1" t="s">
        <v>5</v>
      </c>
      <c r="B14" s="1" t="n">
        <v>7</v>
      </c>
      <c r="C14" s="1" t="n">
        <v>972.5243</v>
      </c>
      <c r="D14" s="1" t="n">
        <v>257.7123</v>
      </c>
      <c r="E14" s="1" t="n">
        <v>1234</v>
      </c>
      <c r="F14" s="1" t="n">
        <f aca="false">(C14-$C$6)/(SQRT((D14^2/E14)+($D$6^2/$E$6)))</f>
        <v>-1.48075570027615</v>
      </c>
    </row>
    <row r="15" customFormat="false" ht="14.65" hidden="false" customHeight="false" outlineLevel="0" collapsed="false">
      <c r="A15" s="1" t="s">
        <v>5</v>
      </c>
      <c r="B15" s="1" t="n">
        <v>8</v>
      </c>
      <c r="C15" s="1" t="n">
        <v>993.8505</v>
      </c>
      <c r="D15" s="1" t="n">
        <v>259.3771</v>
      </c>
      <c r="E15" s="1" t="n">
        <v>943</v>
      </c>
      <c r="F15" s="1" t="n">
        <f aca="false">(C15-$C$6)/(SQRT((D15^2/E15)+($D$6^2/$E$6)))</f>
        <v>1.08499342685685</v>
      </c>
    </row>
    <row r="16" customFormat="false" ht="14.65" hidden="false" customHeight="false" outlineLevel="0" collapsed="false">
      <c r="A16" s="1" t="s">
        <v>5</v>
      </c>
      <c r="B16" s="1" t="n">
        <v>9</v>
      </c>
      <c r="C16" s="1" t="n">
        <v>960.4962</v>
      </c>
      <c r="D16" s="1" t="n">
        <v>254.4984</v>
      </c>
      <c r="E16" s="1" t="n">
        <v>653</v>
      </c>
      <c r="F16" s="1" t="n">
        <f aca="false">(C16-$C$6)/(SQRT((D16^2/E16)+($D$6^2/$E$6)))</f>
        <v>-2.28614593099919</v>
      </c>
    </row>
    <row r="17" customFormat="false" ht="14.65" hidden="false" customHeight="false" outlineLevel="0" collapsed="false">
      <c r="A17" s="1" t="s">
        <v>5</v>
      </c>
      <c r="B17" s="1" t="n">
        <v>10</v>
      </c>
      <c r="C17" s="1" t="n">
        <v>973.3579</v>
      </c>
      <c r="D17" s="1" t="n">
        <v>260.8764</v>
      </c>
      <c r="E17" s="1" t="n">
        <v>788</v>
      </c>
      <c r="F17" s="1" t="n">
        <f aca="false">(C17-$C$6)/(SQRT((D17^2/E17)+($D$6^2/$E$6)))</f>
        <v>-1.11317076807112</v>
      </c>
    </row>
    <row r="18" customFormat="false" ht="14.65" hidden="false" customHeight="false" outlineLevel="0" collapsed="false">
      <c r="A18" s="1" t="s">
        <v>5</v>
      </c>
      <c r="B18" s="1" t="n">
        <v>11</v>
      </c>
      <c r="C18" s="1" t="n">
        <v>1010.2952</v>
      </c>
      <c r="D18" s="1" t="n">
        <v>257.7144</v>
      </c>
      <c r="E18" s="1" t="n">
        <v>376</v>
      </c>
      <c r="F18" s="1" t="n">
        <f aca="false">(C18-$C$6)/(SQRT((D18^2/E18)+($D$6^2/$E$6)))</f>
        <v>1.92137110312713</v>
      </c>
    </row>
    <row r="19" customFormat="false" ht="14.65" hidden="false" customHeight="false" outlineLevel="0" collapsed="false">
      <c r="A19" s="1" t="s">
        <v>5</v>
      </c>
      <c r="B19" s="1" t="n">
        <v>12</v>
      </c>
      <c r="C19" s="1" t="n">
        <v>979.6158</v>
      </c>
      <c r="D19" s="1" t="n">
        <v>259.1914</v>
      </c>
      <c r="E19" s="1" t="n">
        <v>505</v>
      </c>
      <c r="F19" s="1" t="n">
        <f aca="false">(C19-$C$6)/(SQRT((D19^2/E19)+($D$6^2/$E$6)))</f>
        <v>-0.384041054802883</v>
      </c>
    </row>
    <row r="20" customFormat="false" ht="14.65" hidden="false" customHeight="false" outlineLevel="0" collapsed="false">
      <c r="A20" s="1" t="s">
        <v>5</v>
      </c>
      <c r="B20" s="1" t="n">
        <v>13</v>
      </c>
      <c r="C20" s="1" t="n">
        <v>911.0536</v>
      </c>
      <c r="D20" s="1" t="n">
        <v>205.6494</v>
      </c>
      <c r="E20" s="1" t="n">
        <v>56</v>
      </c>
      <c r="F20" s="1" t="n">
        <f aca="false">(C20-$C$6)/(SQRT((D20^2/E20)+($D$6^2/$E$6)))</f>
        <v>-2.64672524260689</v>
      </c>
    </row>
    <row r="22" customFormat="false" ht="14.65" hidden="false" customHeight="false" outlineLevel="0" collapsed="false">
      <c r="B22" s="1" t="s">
        <v>14</v>
      </c>
      <c r="C22" s="1" t="s">
        <v>15</v>
      </c>
      <c r="D22" s="1" t="s">
        <v>16</v>
      </c>
      <c r="E22" s="1" t="n">
        <v>8159</v>
      </c>
    </row>
    <row r="23" customFormat="false" ht="14.65" hidden="false" customHeight="false" outlineLevel="0" collapsed="false">
      <c r="A23" s="1" t="s">
        <v>17</v>
      </c>
    </row>
    <row r="24" customFormat="false" ht="14.65" hidden="false" customHeight="false" outlineLevel="0" collapsed="false">
      <c r="A24" s="1" t="s">
        <v>18</v>
      </c>
      <c r="B24" s="1" t="n">
        <v>5</v>
      </c>
      <c r="C24" s="1" t="s">
        <v>19</v>
      </c>
      <c r="D24" s="2" t="n">
        <v>33957</v>
      </c>
    </row>
    <row r="26" customFormat="false" ht="14.65" hidden="false" customHeight="false" outlineLevel="0" collapsed="false">
      <c r="A26" s="1" t="s">
        <v>0</v>
      </c>
      <c r="B26" s="1" t="s">
        <v>1</v>
      </c>
      <c r="C26" s="1" t="s">
        <v>20</v>
      </c>
    </row>
    <row r="27" customFormat="false" ht="14.65" hidden="false" customHeight="false" outlineLevel="0" collapsed="false">
      <c r="A27" s="1" t="s">
        <v>3</v>
      </c>
      <c r="B27" s="1" t="s">
        <v>4</v>
      </c>
      <c r="C27" s="1" t="s">
        <v>1</v>
      </c>
      <c r="D27" s="1" t="s">
        <v>5</v>
      </c>
    </row>
    <row r="29" customFormat="false" ht="14.65" hidden="false" customHeight="false" outlineLevel="0" collapsed="false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1" customFormat="false" ht="14.65" hidden="false" customHeight="false" outlineLevel="0" collapsed="false">
      <c r="A31" s="1" t="s">
        <v>12</v>
      </c>
      <c r="B31" s="1" t="s">
        <v>13</v>
      </c>
      <c r="C31" s="1" t="n">
        <v>259.7991</v>
      </c>
      <c r="D31" s="1" t="n">
        <v>271.2033</v>
      </c>
      <c r="E31" s="1" t="n">
        <v>8159</v>
      </c>
      <c r="F31" s="1" t="s">
        <v>11</v>
      </c>
    </row>
    <row r="33" customFormat="false" ht="14.65" hidden="false" customHeight="false" outlineLevel="0" collapsed="false">
      <c r="A33" s="1" t="s">
        <v>5</v>
      </c>
      <c r="B33" s="1" t="n">
        <v>1</v>
      </c>
      <c r="C33" s="1" t="n">
        <v>223.9516</v>
      </c>
      <c r="D33" s="1" t="n">
        <v>276.2266</v>
      </c>
      <c r="E33" s="1" t="n">
        <v>62</v>
      </c>
      <c r="F33" s="1" t="n">
        <f aca="false">(C33-$C$31)/(SQRT((D33^2/E33)+($D$31^2/$E$31)))</f>
        <v>-1.01813271367613</v>
      </c>
    </row>
    <row r="34" customFormat="false" ht="14.65" hidden="false" customHeight="false" outlineLevel="0" collapsed="false">
      <c r="A34" s="1" t="s">
        <v>5</v>
      </c>
      <c r="B34" s="1" t="n">
        <v>2</v>
      </c>
      <c r="C34" s="1" t="n">
        <v>252.3622</v>
      </c>
      <c r="D34" s="1" t="n">
        <v>276.356</v>
      </c>
      <c r="E34" s="1" t="n">
        <v>185</v>
      </c>
      <c r="F34" s="1" t="n">
        <f aca="false">(C34-$C$31)/(SQRT((D34^2/E34)+($D$31^2/$E$31)))</f>
        <v>-0.362091358592441</v>
      </c>
    </row>
    <row r="35" customFormat="false" ht="14.65" hidden="false" customHeight="false" outlineLevel="0" collapsed="false">
      <c r="A35" s="1" t="s">
        <v>5</v>
      </c>
      <c r="B35" s="1" t="n">
        <v>3</v>
      </c>
      <c r="C35" s="1" t="n">
        <v>236.7926</v>
      </c>
      <c r="D35" s="1" t="n">
        <v>264.3315</v>
      </c>
      <c r="E35" s="1" t="n">
        <v>217</v>
      </c>
      <c r="F35" s="1" t="n">
        <f aca="false">(C35-$C$31)/(SQRT((D35^2/E35)+($D$31^2/$E$31)))</f>
        <v>-1.26454861596088</v>
      </c>
    </row>
    <row r="36" customFormat="false" ht="14.65" hidden="false" customHeight="false" outlineLevel="0" collapsed="false">
      <c r="A36" s="1" t="s">
        <v>5</v>
      </c>
      <c r="B36" s="1" t="n">
        <v>4</v>
      </c>
      <c r="C36" s="1" t="n">
        <v>267.1133</v>
      </c>
      <c r="D36" s="1" t="n">
        <v>268.9467</v>
      </c>
      <c r="E36" s="1" t="n">
        <v>821</v>
      </c>
      <c r="F36" s="1" t="n">
        <f aca="false">(C36-$C$31)/(SQRT((D36^2/E36)+($D$31^2/$E$31)))</f>
        <v>0.742195297840398</v>
      </c>
    </row>
    <row r="37" customFormat="false" ht="14.65" hidden="false" customHeight="false" outlineLevel="0" collapsed="false">
      <c r="A37" s="1" t="s">
        <v>5</v>
      </c>
      <c r="B37" s="1" t="n">
        <v>5</v>
      </c>
      <c r="C37" s="1" t="n">
        <v>251.5936</v>
      </c>
      <c r="D37" s="1" t="n">
        <v>270.9975</v>
      </c>
      <c r="E37" s="1" t="n">
        <v>529</v>
      </c>
      <c r="F37" s="1" t="n">
        <f aca="false">(C37-$C$31)/(SQRT((D37^2/E37)+($D$31^2/$E$31)))</f>
        <v>-0.674848168296467</v>
      </c>
    </row>
    <row r="38" customFormat="false" ht="14.65" hidden="false" customHeight="false" outlineLevel="0" collapsed="false">
      <c r="A38" s="1" t="s">
        <v>5</v>
      </c>
      <c r="B38" s="1" t="n">
        <v>6</v>
      </c>
      <c r="C38" s="1" t="n">
        <v>242.9899</v>
      </c>
      <c r="D38" s="1" t="n">
        <v>268.2706</v>
      </c>
      <c r="E38" s="1" t="n">
        <v>1790</v>
      </c>
      <c r="F38" s="1" t="n">
        <f aca="false">(C38-$C$31)/(SQRT((D38^2/E38)+($D$31^2/$E$31)))</f>
        <v>-2.39591865832246</v>
      </c>
    </row>
    <row r="39" customFormat="false" ht="14.65" hidden="false" customHeight="false" outlineLevel="0" collapsed="false">
      <c r="A39" s="1" t="s">
        <v>5</v>
      </c>
      <c r="B39" s="1" t="n">
        <v>7</v>
      </c>
      <c r="C39" s="1" t="n">
        <v>271.1491</v>
      </c>
      <c r="D39" s="1" t="n">
        <v>270.6336</v>
      </c>
      <c r="E39" s="1" t="n">
        <v>1234</v>
      </c>
      <c r="F39" s="1" t="n">
        <f aca="false">(C39-$C$31)/(SQRT((D39^2/E39)+($D$31^2/$E$31)))</f>
        <v>1.37267534862201</v>
      </c>
    </row>
    <row r="40" customFormat="false" ht="14.65" hidden="false" customHeight="false" outlineLevel="0" collapsed="false">
      <c r="A40" s="1" t="s">
        <v>5</v>
      </c>
      <c r="B40" s="1" t="n">
        <v>8</v>
      </c>
      <c r="C40" s="1" t="n">
        <v>267.3065</v>
      </c>
      <c r="D40" s="1" t="n">
        <v>269.2167</v>
      </c>
      <c r="E40" s="1" t="n">
        <v>943</v>
      </c>
      <c r="F40" s="1" t="n">
        <f aca="false">(C40-$C$31)/(SQRT((D40^2/E40)+($D$31^2/$E$31)))</f>
        <v>0.810140725881939</v>
      </c>
    </row>
    <row r="41" customFormat="false" ht="14.65" hidden="false" customHeight="false" outlineLevel="0" collapsed="false">
      <c r="A41" s="1" t="s">
        <v>5</v>
      </c>
      <c r="B41" s="1" t="n">
        <v>9</v>
      </c>
      <c r="C41" s="1" t="n">
        <v>280.9801</v>
      </c>
      <c r="D41" s="1" t="n">
        <v>278.1239</v>
      </c>
      <c r="E41" s="1" t="n">
        <v>653</v>
      </c>
      <c r="F41" s="1" t="n">
        <f aca="false">(C41-$C$31)/(SQRT((D41^2/E41)+($D$31^2/$E$31)))</f>
        <v>1.87602339907565</v>
      </c>
    </row>
    <row r="42" customFormat="false" ht="14.65" hidden="false" customHeight="false" outlineLevel="0" collapsed="false">
      <c r="A42" s="1" t="s">
        <v>5</v>
      </c>
      <c r="B42" s="1" t="n">
        <v>10</v>
      </c>
      <c r="C42" s="1" t="n">
        <v>260.0393</v>
      </c>
      <c r="D42" s="1" t="n">
        <v>274.3359</v>
      </c>
      <c r="E42" s="1" t="n">
        <v>788</v>
      </c>
      <c r="F42" s="1" t="n">
        <f aca="false">(C42-$C$31)/(SQRT((D42^2/E42)+($D$31^2/$E$31)))</f>
        <v>0.0234945931953915</v>
      </c>
    </row>
    <row r="43" customFormat="false" ht="14.65" hidden="false" customHeight="false" outlineLevel="0" collapsed="false">
      <c r="A43" s="1" t="s">
        <v>5</v>
      </c>
      <c r="B43" s="1" t="n">
        <v>11</v>
      </c>
      <c r="C43" s="1" t="n">
        <v>238.5665</v>
      </c>
      <c r="D43" s="1" t="n">
        <v>270.3203</v>
      </c>
      <c r="E43" s="1" t="n">
        <v>376</v>
      </c>
      <c r="F43" s="1" t="n">
        <f aca="false">(C43-$C$31)/(SQRT((D43^2/E43)+($D$31^2/$E$31)))</f>
        <v>-1.48892408409842</v>
      </c>
    </row>
    <row r="44" customFormat="false" ht="14.65" hidden="false" customHeight="false" outlineLevel="0" collapsed="false">
      <c r="A44" s="1" t="s">
        <v>5</v>
      </c>
      <c r="B44" s="1" t="n">
        <v>12</v>
      </c>
      <c r="C44" s="1" t="n">
        <v>271.4416</v>
      </c>
      <c r="D44" s="1" t="n">
        <v>274.5557</v>
      </c>
      <c r="E44" s="1" t="n">
        <v>505</v>
      </c>
      <c r="F44" s="1" t="n">
        <f aca="false">(C44-$C$31)/(SQRT((D44^2/E44)+($D$31^2/$E$31)))</f>
        <v>0.925397101297839</v>
      </c>
    </row>
    <row r="45" customFormat="false" ht="14.65" hidden="false" customHeight="false" outlineLevel="0" collapsed="false">
      <c r="A45" s="1" t="s">
        <v>5</v>
      </c>
      <c r="B45" s="1" t="n">
        <v>13</v>
      </c>
      <c r="C45" s="1" t="n">
        <v>331.4643</v>
      </c>
      <c r="D45" s="1" t="n">
        <v>267.293</v>
      </c>
      <c r="E45" s="1" t="n">
        <v>56</v>
      </c>
      <c r="F45" s="1" t="n">
        <f aca="false">(C45-$C$31)/(SQRT((D45^2/E45)+($D$31^2/$E$31)))</f>
        <v>1.99933609084435</v>
      </c>
    </row>
    <row r="47" customFormat="false" ht="14.65" hidden="false" customHeight="false" outlineLevel="0" collapsed="false">
      <c r="B47" s="1" t="s">
        <v>14</v>
      </c>
      <c r="C47" s="1" t="s">
        <v>15</v>
      </c>
      <c r="D47" s="1" t="s">
        <v>16</v>
      </c>
      <c r="E47" s="1" t="n">
        <v>8159</v>
      </c>
    </row>
    <row r="48" customFormat="false" ht="14.65" hidden="false" customHeight="false" outlineLevel="0" collapsed="false">
      <c r="A48" s="1" t="s">
        <v>17</v>
      </c>
    </row>
    <row r="49" customFormat="false" ht="14.65" hidden="false" customHeight="false" outlineLevel="0" collapsed="false">
      <c r="A49" s="1" t="s">
        <v>18</v>
      </c>
      <c r="B49" s="1" t="n">
        <v>7</v>
      </c>
      <c r="C49" s="1" t="s">
        <v>19</v>
      </c>
      <c r="D49" s="2" t="n">
        <v>33957</v>
      </c>
    </row>
    <row r="51" customFormat="false" ht="14.65" hidden="false" customHeight="false" outlineLevel="0" collapsed="false">
      <c r="A51" s="1" t="s">
        <v>0</v>
      </c>
      <c r="B51" s="1" t="s">
        <v>1</v>
      </c>
      <c r="C51" s="1" t="s">
        <v>21</v>
      </c>
    </row>
    <row r="52" customFormat="false" ht="14.65" hidden="false" customHeight="false" outlineLevel="0" collapsed="false">
      <c r="A52" s="1" t="s">
        <v>3</v>
      </c>
      <c r="B52" s="1" t="s">
        <v>4</v>
      </c>
      <c r="C52" s="1" t="s">
        <v>1</v>
      </c>
      <c r="D52" s="1" t="s">
        <v>5</v>
      </c>
    </row>
    <row r="54" customFormat="false" ht="14.65" hidden="false" customHeight="false" outlineLevel="0" collapsed="false">
      <c r="A54" s="1" t="s">
        <v>6</v>
      </c>
      <c r="B54" s="1" t="s">
        <v>7</v>
      </c>
      <c r="C54" s="1" t="s">
        <v>8</v>
      </c>
      <c r="D54" s="1" t="s">
        <v>9</v>
      </c>
      <c r="E54" s="1" t="s">
        <v>10</v>
      </c>
    </row>
    <row r="56" customFormat="false" ht="14.65" hidden="false" customHeight="false" outlineLevel="0" collapsed="false">
      <c r="A56" s="1" t="s">
        <v>12</v>
      </c>
      <c r="B56" s="1" t="s">
        <v>13</v>
      </c>
      <c r="C56" s="1" t="n">
        <v>21.291</v>
      </c>
      <c r="D56" s="1" t="n">
        <v>56.2797</v>
      </c>
      <c r="E56" s="1" t="n">
        <v>8159</v>
      </c>
    </row>
    <row r="58" customFormat="false" ht="14.65" hidden="false" customHeight="false" outlineLevel="0" collapsed="false">
      <c r="A58" s="1" t="s">
        <v>5</v>
      </c>
      <c r="B58" s="1" t="n">
        <v>1</v>
      </c>
      <c r="C58" s="1" t="n">
        <v>15.5645</v>
      </c>
      <c r="D58" s="1" t="n">
        <v>37.5542</v>
      </c>
      <c r="E58" s="1" t="n">
        <v>62</v>
      </c>
      <c r="F58" s="1" t="n">
        <f aca="false">(C58-$C$56)/(SQRT((D58^2/E58)+($D$56^2/$E$56)))</f>
        <v>-1.19056180830886</v>
      </c>
    </row>
    <row r="59" customFormat="false" ht="14.65" hidden="false" customHeight="false" outlineLevel="0" collapsed="false">
      <c r="A59" s="1" t="s">
        <v>5</v>
      </c>
      <c r="B59" s="1" t="n">
        <v>2</v>
      </c>
      <c r="C59" s="1" t="n">
        <v>29.627</v>
      </c>
      <c r="D59" s="1" t="n">
        <v>112.4403</v>
      </c>
      <c r="E59" s="1" t="n">
        <v>185</v>
      </c>
      <c r="F59" s="1" t="n">
        <f aca="false">(C59-$C$56)/(SQRT((D59^2/E59)+($D$56^2/$E$56)))</f>
        <v>1.00552190923319</v>
      </c>
    </row>
    <row r="60" customFormat="false" ht="14.65" hidden="false" customHeight="false" outlineLevel="0" collapsed="false">
      <c r="A60" s="1" t="s">
        <v>5</v>
      </c>
      <c r="B60" s="1" t="n">
        <v>3</v>
      </c>
      <c r="C60" s="1" t="n">
        <v>21.8387</v>
      </c>
      <c r="D60" s="1" t="n">
        <v>51.1194</v>
      </c>
      <c r="E60" s="1" t="n">
        <v>217</v>
      </c>
      <c r="F60" s="1" t="n">
        <f aca="false">(C60-$C$56)/(SQRT((D60^2/E60)+($D$56^2/$E$56)))</f>
        <v>0.155344952059496</v>
      </c>
    </row>
    <row r="61" customFormat="false" ht="14.65" hidden="false" customHeight="false" outlineLevel="0" collapsed="false">
      <c r="A61" s="1" t="s">
        <v>5</v>
      </c>
      <c r="B61" s="1" t="n">
        <v>4</v>
      </c>
      <c r="C61" s="1" t="n">
        <v>20.6395</v>
      </c>
      <c r="D61" s="1" t="n">
        <v>58.367</v>
      </c>
      <c r="E61" s="1" t="n">
        <v>821</v>
      </c>
      <c r="F61" s="1" t="n">
        <f aca="false">(C61-$C$56)/(SQRT((D61^2/E61)+($D$56^2/$E$56)))</f>
        <v>-0.305842593929752</v>
      </c>
    </row>
    <row r="62" customFormat="false" ht="14.65" hidden="false" customHeight="false" outlineLevel="0" collapsed="false">
      <c r="A62" s="1" t="s">
        <v>5</v>
      </c>
      <c r="B62" s="1" t="n">
        <v>5</v>
      </c>
      <c r="C62" s="1" t="n">
        <v>24.4197</v>
      </c>
      <c r="D62" s="1" t="n">
        <v>55.6032</v>
      </c>
      <c r="E62" s="1" t="n">
        <v>529</v>
      </c>
      <c r="F62" s="1" t="n">
        <f aca="false">(C62-$C$56)/(SQRT((D62^2/E62)+($D$56^2/$E$56)))</f>
        <v>1.25321934101078</v>
      </c>
    </row>
    <row r="63" customFormat="false" ht="14.65" hidden="false" customHeight="false" outlineLevel="0" collapsed="false">
      <c r="A63" s="1" t="s">
        <v>5</v>
      </c>
      <c r="B63" s="1" t="n">
        <v>6</v>
      </c>
      <c r="C63" s="1" t="n">
        <v>20.586</v>
      </c>
      <c r="D63" s="1" t="n">
        <v>49.1898</v>
      </c>
      <c r="E63" s="1" t="n">
        <v>1790</v>
      </c>
      <c r="F63" s="1" t="n">
        <f aca="false">(C63-$C$56)/(SQRT((D63^2/E63)+($D$56^2/$E$56)))</f>
        <v>-0.534464941614255</v>
      </c>
    </row>
    <row r="64" customFormat="false" ht="14.65" hidden="false" customHeight="false" outlineLevel="0" collapsed="false">
      <c r="A64" s="1" t="s">
        <v>5</v>
      </c>
      <c r="B64" s="1" t="n">
        <v>7</v>
      </c>
      <c r="C64" s="1" t="n">
        <v>19.4173</v>
      </c>
      <c r="D64" s="1" t="n">
        <v>46.9484</v>
      </c>
      <c r="E64" s="1" t="n">
        <v>1234</v>
      </c>
      <c r="F64" s="1" t="n">
        <f aca="false">(C64-$C$56)/(SQRT((D64^2/E64)+($D$56^2/$E$56)))</f>
        <v>-1.27066435724319</v>
      </c>
    </row>
    <row r="65" customFormat="false" ht="14.65" hidden="false" customHeight="false" outlineLevel="0" collapsed="false">
      <c r="A65" s="1" t="s">
        <v>5</v>
      </c>
      <c r="B65" s="1" t="n">
        <v>8</v>
      </c>
      <c r="C65" s="1" t="n">
        <v>19.8282</v>
      </c>
      <c r="D65" s="1" t="n">
        <v>56.9523</v>
      </c>
      <c r="E65" s="1" t="n">
        <v>943</v>
      </c>
      <c r="F65" s="1" t="n">
        <f aca="false">(C65-$C$56)/(SQRT((D65^2/E65)+($D$56^2/$E$56)))</f>
        <v>-0.74766743758142</v>
      </c>
    </row>
    <row r="66" customFormat="false" ht="14.65" hidden="false" customHeight="false" outlineLevel="0" collapsed="false">
      <c r="A66" s="1" t="s">
        <v>5</v>
      </c>
      <c r="B66" s="1" t="n">
        <v>9</v>
      </c>
      <c r="C66" s="1" t="n">
        <v>21.5038</v>
      </c>
      <c r="D66" s="1" t="n">
        <v>54.8764</v>
      </c>
      <c r="E66" s="1" t="n">
        <v>653</v>
      </c>
      <c r="F66" s="1" t="n">
        <f aca="false">(C66-$C$56)/(SQRT((D66^2/E66)+($D$56^2/$E$56)))</f>
        <v>0.0951682140024037</v>
      </c>
    </row>
    <row r="67" customFormat="false" ht="14.65" hidden="false" customHeight="false" outlineLevel="0" collapsed="false">
      <c r="A67" s="1" t="s">
        <v>5</v>
      </c>
      <c r="B67" s="1" t="n">
        <v>10</v>
      </c>
      <c r="C67" s="1" t="n">
        <v>24.0393</v>
      </c>
      <c r="D67" s="1" t="n">
        <v>63.5465</v>
      </c>
      <c r="E67" s="1" t="n">
        <v>788</v>
      </c>
      <c r="F67" s="1" t="n">
        <f aca="false">(C67-$C$56)/(SQRT((D67^2/E67)+($D$56^2/$E$56)))</f>
        <v>1.17052039638105</v>
      </c>
    </row>
    <row r="68" customFormat="false" ht="14.65" hidden="false" customHeight="false" outlineLevel="0" collapsed="false">
      <c r="A68" s="1" t="s">
        <v>5</v>
      </c>
      <c r="B68" s="1" t="n">
        <v>11</v>
      </c>
      <c r="C68" s="1" t="n">
        <v>24.7766</v>
      </c>
      <c r="D68" s="1" t="n">
        <v>64.1247</v>
      </c>
      <c r="E68" s="1" t="n">
        <v>376</v>
      </c>
      <c r="F68" s="1" t="n">
        <f aca="false">(C68-$C$56)/(SQRT((D68^2/E68)+($D$56^2/$E$56)))</f>
        <v>1.03578947306893</v>
      </c>
    </row>
    <row r="69" customFormat="false" ht="14.65" hidden="false" customHeight="false" outlineLevel="0" collapsed="false">
      <c r="A69" s="1" t="s">
        <v>5</v>
      </c>
      <c r="B69" s="1" t="n">
        <v>12</v>
      </c>
      <c r="C69" s="1" t="n">
        <v>20.2772</v>
      </c>
      <c r="D69" s="1" t="n">
        <v>54.6816</v>
      </c>
      <c r="E69" s="1" t="n">
        <v>505</v>
      </c>
      <c r="F69" s="1" t="n">
        <f aca="false">(C69-$C$56)/(SQRT((D69^2/E69)+($D$56^2/$E$56)))</f>
        <v>-0.403614426633158</v>
      </c>
    </row>
    <row r="70" customFormat="false" ht="14.65" hidden="false" customHeight="false" outlineLevel="0" collapsed="false">
      <c r="A70" s="1" t="s">
        <v>5</v>
      </c>
      <c r="B70" s="1" t="n">
        <v>13</v>
      </c>
      <c r="C70" s="1" t="n">
        <v>11</v>
      </c>
      <c r="D70" s="1" t="n">
        <v>42.6316</v>
      </c>
      <c r="E70" s="1" t="n">
        <v>56</v>
      </c>
      <c r="F70" s="1" t="n">
        <f aca="false">(C70-$C$56)/(SQRT((D70^2/E70)+($D$56^2/$E$56)))</f>
        <v>-1.79571714990265</v>
      </c>
    </row>
    <row r="72" customFormat="false" ht="14.65" hidden="false" customHeight="false" outlineLevel="0" collapsed="false">
      <c r="B72" s="1" t="s">
        <v>14</v>
      </c>
      <c r="C72" s="1" t="s">
        <v>15</v>
      </c>
      <c r="D72" s="1" t="s">
        <v>16</v>
      </c>
      <c r="E72" s="1" t="n">
        <v>8159</v>
      </c>
    </row>
    <row r="73" customFormat="false" ht="14.65" hidden="false" customHeight="false" outlineLevel="0" collapsed="false">
      <c r="A73" s="1" t="s">
        <v>17</v>
      </c>
    </row>
    <row r="74" customFormat="false" ht="14.65" hidden="false" customHeight="false" outlineLevel="0" collapsed="false">
      <c r="A74" s="1" t="s">
        <v>18</v>
      </c>
      <c r="B74" s="1" t="n">
        <v>9</v>
      </c>
      <c r="C74" s="1" t="s">
        <v>19</v>
      </c>
      <c r="D74" s="2" t="n">
        <v>33957</v>
      </c>
    </row>
    <row r="76" customFormat="false" ht="14.65" hidden="false" customHeight="false" outlineLevel="0" collapsed="false">
      <c r="A76" s="1" t="s">
        <v>0</v>
      </c>
      <c r="B76" s="1" t="s">
        <v>1</v>
      </c>
      <c r="C76" s="1" t="s">
        <v>22</v>
      </c>
    </row>
    <row r="77" customFormat="false" ht="14.65" hidden="false" customHeight="false" outlineLevel="0" collapsed="false">
      <c r="A77" s="1" t="s">
        <v>3</v>
      </c>
      <c r="B77" s="1" t="s">
        <v>4</v>
      </c>
      <c r="C77" s="1" t="s">
        <v>1</v>
      </c>
      <c r="D77" s="1" t="s">
        <v>5</v>
      </c>
    </row>
    <row r="79" customFormat="false" ht="14.65" hidden="false" customHeight="false" outlineLevel="0" collapsed="false">
      <c r="A79" s="1" t="s">
        <v>6</v>
      </c>
      <c r="B79" s="1" t="s">
        <v>7</v>
      </c>
      <c r="C79" s="1" t="s">
        <v>8</v>
      </c>
      <c r="D79" s="1" t="s">
        <v>9</v>
      </c>
      <c r="E79" s="1" t="s">
        <v>10</v>
      </c>
    </row>
    <row r="81" customFormat="false" ht="14.65" hidden="false" customHeight="false" outlineLevel="0" collapsed="false">
      <c r="A81" s="1" t="s">
        <v>12</v>
      </c>
      <c r="B81" s="1" t="s">
        <v>13</v>
      </c>
      <c r="C81" s="1" t="n">
        <v>109.905</v>
      </c>
      <c r="D81" s="1" t="n">
        <v>158.4693</v>
      </c>
      <c r="E81" s="1" t="n">
        <v>8159</v>
      </c>
      <c r="F81" s="1" t="s">
        <v>11</v>
      </c>
    </row>
    <row r="83" customFormat="false" ht="14.65" hidden="false" customHeight="false" outlineLevel="0" collapsed="false">
      <c r="A83" s="1" t="s">
        <v>5</v>
      </c>
      <c r="B83" s="1" t="n">
        <v>1</v>
      </c>
      <c r="C83" s="1" t="n">
        <v>153.6774</v>
      </c>
      <c r="D83" s="1" t="n">
        <v>203.6978</v>
      </c>
      <c r="E83" s="1" t="n">
        <v>62</v>
      </c>
      <c r="F83" s="1" t="n">
        <f aca="false">(C83-$C$81)/(SQRT((D83^2/E83)+($D$81^2/$E$81)))</f>
        <v>1.68815948897235</v>
      </c>
    </row>
    <row r="84" customFormat="false" ht="14.65" hidden="false" customHeight="false" outlineLevel="0" collapsed="false">
      <c r="A84" s="1" t="s">
        <v>5</v>
      </c>
      <c r="B84" s="1" t="n">
        <v>2</v>
      </c>
      <c r="C84" s="1" t="n">
        <v>114.0919</v>
      </c>
      <c r="D84" s="1" t="n">
        <v>158.5956</v>
      </c>
      <c r="E84" s="1" t="n">
        <v>185</v>
      </c>
      <c r="F84" s="1" t="n">
        <f aca="false">(C84-$C$81)/(SQRT((D84^2/E84)+($D$81^2/$E$81)))</f>
        <v>0.355080074537296</v>
      </c>
    </row>
    <row r="85" customFormat="false" ht="14.65" hidden="false" customHeight="false" outlineLevel="0" collapsed="false">
      <c r="A85" s="1" t="s">
        <v>5</v>
      </c>
      <c r="B85" s="1" t="n">
        <v>3</v>
      </c>
      <c r="C85" s="1" t="n">
        <v>108.5484</v>
      </c>
      <c r="D85" s="1" t="n">
        <v>151.7858</v>
      </c>
      <c r="E85" s="1" t="n">
        <v>217</v>
      </c>
      <c r="F85" s="1" t="n">
        <f aca="false">(C85-$C$81)/(SQRT((D85^2/E85)+($D$81^2/$E$81)))</f>
        <v>-0.129791102732467</v>
      </c>
    </row>
    <row r="86" customFormat="false" ht="14.65" hidden="false" customHeight="false" outlineLevel="0" collapsed="false">
      <c r="A86" s="1" t="s">
        <v>5</v>
      </c>
      <c r="B86" s="1" t="n">
        <v>4</v>
      </c>
      <c r="C86" s="1" t="n">
        <v>113.6456</v>
      </c>
      <c r="D86" s="1" t="n">
        <v>158.5262</v>
      </c>
      <c r="E86" s="1" t="n">
        <v>821</v>
      </c>
      <c r="F86" s="1" t="n">
        <f aca="false">(C86-$C$81)/(SQRT((D86^2/E86)+($D$81^2/$E$81)))</f>
        <v>0.644475402503891</v>
      </c>
    </row>
    <row r="87" customFormat="false" ht="14.65" hidden="false" customHeight="false" outlineLevel="0" collapsed="false">
      <c r="A87" s="1" t="s">
        <v>5</v>
      </c>
      <c r="B87" s="1" t="n">
        <v>5</v>
      </c>
      <c r="C87" s="1" t="n">
        <v>102.0284</v>
      </c>
      <c r="D87" s="1" t="n">
        <v>145.7442</v>
      </c>
      <c r="E87" s="1" t="n">
        <v>529</v>
      </c>
      <c r="F87" s="1" t="n">
        <f aca="false">(C87-$C$81)/(SQRT((D87^2/E87)+($D$81^2/$E$81)))</f>
        <v>-1.19794689200165</v>
      </c>
    </row>
    <row r="88" customFormat="false" ht="14.65" hidden="false" customHeight="false" outlineLevel="0" collapsed="false">
      <c r="A88" s="1" t="s">
        <v>5</v>
      </c>
      <c r="B88" s="1" t="n">
        <v>6</v>
      </c>
      <c r="C88" s="1" t="n">
        <v>114.5799</v>
      </c>
      <c r="D88" s="1" t="n">
        <v>160.9709</v>
      </c>
      <c r="E88" s="1" t="n">
        <v>1790</v>
      </c>
      <c r="F88" s="1" t="n">
        <f aca="false">(C88-$C$81)/(SQRT((D88^2/E88)+($D$81^2/$E$81)))</f>
        <v>1.11580536705578</v>
      </c>
    </row>
    <row r="89" customFormat="false" ht="14.65" hidden="false" customHeight="false" outlineLevel="0" collapsed="false">
      <c r="A89" s="1" t="s">
        <v>5</v>
      </c>
      <c r="B89" s="1" t="n">
        <v>7</v>
      </c>
      <c r="C89" s="1" t="n">
        <v>111.812</v>
      </c>
      <c r="D89" s="1" t="n">
        <v>163.4812</v>
      </c>
      <c r="E89" s="1" t="n">
        <v>1234</v>
      </c>
      <c r="F89" s="1" t="n">
        <f aca="false">(C89-$C$81)/(SQRT((D89^2/E89)+($D$81^2/$E$81)))</f>
        <v>0.383429900409738</v>
      </c>
    </row>
    <row r="90" customFormat="false" ht="14.65" hidden="false" customHeight="false" outlineLevel="0" collapsed="false">
      <c r="A90" s="1" t="s">
        <v>5</v>
      </c>
      <c r="B90" s="1" t="n">
        <v>8</v>
      </c>
      <c r="C90" s="1" t="n">
        <v>100.1506</v>
      </c>
      <c r="D90" s="1" t="n">
        <v>146.5144</v>
      </c>
      <c r="E90" s="1" t="n">
        <v>943</v>
      </c>
      <c r="F90" s="1" t="n">
        <f aca="false">(C90-$C$81)/(SQRT((D90^2/E90)+($D$81^2/$E$81)))</f>
        <v>-1.91883775019973</v>
      </c>
    </row>
    <row r="91" customFormat="false" ht="14.65" hidden="false" customHeight="false" outlineLevel="0" collapsed="false">
      <c r="A91" s="1" t="s">
        <v>5</v>
      </c>
      <c r="B91" s="1" t="n">
        <v>9</v>
      </c>
      <c r="C91" s="1" t="n">
        <v>113.6325</v>
      </c>
      <c r="D91" s="1" t="n">
        <v>169.7178</v>
      </c>
      <c r="E91" s="1" t="n">
        <v>653</v>
      </c>
      <c r="F91" s="1" t="n">
        <f aca="false">(C91-$C$81)/(SQRT((D91^2/E91)+($D$81^2/$E$81)))</f>
        <v>0.542625550062632</v>
      </c>
    </row>
    <row r="92" customFormat="false" ht="14.65" hidden="false" customHeight="false" outlineLevel="0" collapsed="false">
      <c r="A92" s="1" t="s">
        <v>5</v>
      </c>
      <c r="B92" s="1" t="n">
        <v>10</v>
      </c>
      <c r="C92" s="1" t="n">
        <v>113.5761</v>
      </c>
      <c r="D92" s="1" t="n">
        <v>160.1276</v>
      </c>
      <c r="E92" s="1" t="n">
        <v>788</v>
      </c>
      <c r="F92" s="1" t="n">
        <f aca="false">(C92-$C$81)/(SQRT((D92^2/E92)+($D$81^2/$E$81)))</f>
        <v>0.615130564525646</v>
      </c>
    </row>
    <row r="93" customFormat="false" ht="14.65" hidden="false" customHeight="false" outlineLevel="0" collapsed="false">
      <c r="A93" s="1" t="s">
        <v>5</v>
      </c>
      <c r="B93" s="1" t="n">
        <v>11</v>
      </c>
      <c r="C93" s="1" t="n">
        <v>105.75</v>
      </c>
      <c r="D93" s="1" t="n">
        <v>157.1465</v>
      </c>
      <c r="E93" s="1" t="n">
        <v>376</v>
      </c>
      <c r="F93" s="1" t="n">
        <f aca="false">(C93-$C$81)/(SQRT((D93^2/E93)+($D$81^2/$E$81)))</f>
        <v>-0.501089468294561</v>
      </c>
    </row>
    <row r="94" customFormat="false" ht="14.65" hidden="false" customHeight="false" outlineLevel="0" collapsed="false">
      <c r="A94" s="1" t="s">
        <v>5</v>
      </c>
      <c r="B94" s="1" t="n">
        <v>12</v>
      </c>
      <c r="C94" s="1" t="n">
        <v>97.3446</v>
      </c>
      <c r="D94" s="1" t="n">
        <v>151.7634</v>
      </c>
      <c r="E94" s="1" t="n">
        <v>505</v>
      </c>
      <c r="F94" s="1" t="n">
        <f aca="false">(C94-$C$81)/(SQRT((D94^2/E94)+($D$81^2/$E$81)))</f>
        <v>-1.80011857930109</v>
      </c>
    </row>
    <row r="95" customFormat="false" ht="14.65" hidden="false" customHeight="false" outlineLevel="0" collapsed="false">
      <c r="A95" s="1" t="s">
        <v>5</v>
      </c>
      <c r="B95" s="1" t="n">
        <v>13</v>
      </c>
      <c r="C95" s="1" t="n">
        <v>91.2857</v>
      </c>
      <c r="D95" s="1" t="n">
        <v>143.0483</v>
      </c>
      <c r="E95" s="1" t="n">
        <v>56</v>
      </c>
      <c r="F95" s="1" t="n">
        <f aca="false">(C95-$C$81)/(SQRT((D95^2/E95)+($D$81^2/$E$81)))</f>
        <v>-0.969958721669406</v>
      </c>
    </row>
    <row r="97" customFormat="false" ht="14.65" hidden="false" customHeight="false" outlineLevel="0" collapsed="false">
      <c r="B97" s="1" t="s">
        <v>14</v>
      </c>
      <c r="C97" s="1" t="s">
        <v>15</v>
      </c>
      <c r="D97" s="1" t="s">
        <v>16</v>
      </c>
      <c r="E97" s="1" t="n">
        <v>8159</v>
      </c>
    </row>
    <row r="98" customFormat="false" ht="14.65" hidden="false" customHeight="false" outlineLevel="0" collapsed="false">
      <c r="A98" s="1" t="s">
        <v>17</v>
      </c>
    </row>
    <row r="99" customFormat="false" ht="14.65" hidden="false" customHeight="false" outlineLevel="0" collapsed="false">
      <c r="A99" s="1" t="s">
        <v>18</v>
      </c>
      <c r="B99" s="1" t="n">
        <v>11</v>
      </c>
      <c r="C99" s="1" t="s">
        <v>19</v>
      </c>
      <c r="D99" s="2" t="n">
        <v>33957</v>
      </c>
    </row>
    <row r="101" customFormat="false" ht="14.65" hidden="false" customHeight="false" outlineLevel="0" collapsed="false">
      <c r="A101" s="1" t="s">
        <v>0</v>
      </c>
      <c r="B101" s="1" t="s">
        <v>1</v>
      </c>
      <c r="C101" s="1" t="s">
        <v>23</v>
      </c>
    </row>
    <row r="102" customFormat="false" ht="14.65" hidden="false" customHeight="false" outlineLevel="0" collapsed="false">
      <c r="A102" s="1" t="s">
        <v>3</v>
      </c>
      <c r="B102" s="1" t="s">
        <v>4</v>
      </c>
      <c r="C102" s="1" t="s">
        <v>1</v>
      </c>
      <c r="D102" s="1" t="s">
        <v>5</v>
      </c>
    </row>
    <row r="104" customFormat="false" ht="14.65" hidden="false" customHeight="false" outlineLevel="0" collapsed="false">
      <c r="A104" s="1" t="s">
        <v>6</v>
      </c>
      <c r="B104" s="1" t="s">
        <v>7</v>
      </c>
      <c r="C104" s="1" t="s">
        <v>8</v>
      </c>
      <c r="D104" s="1" t="s">
        <v>9</v>
      </c>
      <c r="E104" s="1" t="s">
        <v>10</v>
      </c>
    </row>
    <row r="106" customFormat="false" ht="14.65" hidden="false" customHeight="false" outlineLevel="0" collapsed="false">
      <c r="A106" s="1" t="s">
        <v>12</v>
      </c>
      <c r="B106" s="1" t="s">
        <v>13</v>
      </c>
      <c r="C106" s="1" t="n">
        <v>64.8264</v>
      </c>
      <c r="D106" s="1" t="n">
        <v>62.2463</v>
      </c>
      <c r="E106" s="1" t="n">
        <v>8159</v>
      </c>
    </row>
    <row r="108" customFormat="false" ht="14.65" hidden="false" customHeight="false" outlineLevel="0" collapsed="false">
      <c r="A108" s="1" t="s">
        <v>5</v>
      </c>
      <c r="B108" s="1" t="n">
        <v>1</v>
      </c>
      <c r="C108" s="1" t="n">
        <v>51.129</v>
      </c>
      <c r="D108" s="1" t="n">
        <v>33.8829</v>
      </c>
      <c r="E108" s="1" t="n">
        <v>62</v>
      </c>
      <c r="F108" s="1" t="n">
        <f aca="false">(C108-$C$106)/(SQRT((D108^2/E108)+($D$106^2/$E$106)))</f>
        <v>-3.14307432294327</v>
      </c>
    </row>
    <row r="109" customFormat="false" ht="14.65" hidden="false" customHeight="false" outlineLevel="0" collapsed="false">
      <c r="A109" s="1" t="s">
        <v>5</v>
      </c>
      <c r="B109" s="1" t="n">
        <v>2</v>
      </c>
      <c r="C109" s="1" t="n">
        <v>59.3568</v>
      </c>
      <c r="D109" s="1" t="n">
        <v>50.7817</v>
      </c>
      <c r="E109" s="1" t="n">
        <v>185</v>
      </c>
      <c r="F109" s="1" t="n">
        <f aca="false">(C109-$C$106)/(SQRT((D109^2/E109)+($D$106^2/$E$106)))</f>
        <v>-1.44065381474548</v>
      </c>
    </row>
    <row r="110" customFormat="false" ht="14.65" hidden="false" customHeight="false" outlineLevel="0" collapsed="false">
      <c r="A110" s="1" t="s">
        <v>5</v>
      </c>
      <c r="B110" s="1" t="n">
        <v>3</v>
      </c>
      <c r="C110" s="1" t="n">
        <v>62.0184</v>
      </c>
      <c r="D110" s="1" t="n">
        <v>59.5547</v>
      </c>
      <c r="E110" s="1" t="n">
        <v>217</v>
      </c>
      <c r="F110" s="1" t="n">
        <f aca="false">(C110-$C$106)/(SQRT((D110^2/E110)+($D$106^2/$E$106)))</f>
        <v>-0.684686364482338</v>
      </c>
    </row>
    <row r="111" customFormat="false" ht="14.65" hidden="false" customHeight="false" outlineLevel="0" collapsed="false">
      <c r="A111" s="1" t="s">
        <v>5</v>
      </c>
      <c r="B111" s="1" t="n">
        <v>4</v>
      </c>
      <c r="C111" s="1" t="n">
        <v>67.8879</v>
      </c>
      <c r="D111" s="1" t="n">
        <v>69.2348</v>
      </c>
      <c r="E111" s="1" t="n">
        <v>821</v>
      </c>
      <c r="F111" s="1" t="n">
        <f aca="false">(C111-$C$106)/(SQRT((D111^2/E111)+($D$106^2/$E$106)))</f>
        <v>1.2184311928982</v>
      </c>
    </row>
    <row r="112" customFormat="false" ht="14.65" hidden="false" customHeight="false" outlineLevel="0" collapsed="false">
      <c r="A112" s="1" t="s">
        <v>5</v>
      </c>
      <c r="B112" s="1" t="n">
        <v>5</v>
      </c>
      <c r="C112" s="1" t="n">
        <v>63.327</v>
      </c>
      <c r="D112" s="1" t="n">
        <v>64.2364</v>
      </c>
      <c r="E112" s="1" t="n">
        <v>529</v>
      </c>
      <c r="F112" s="1" t="n">
        <f aca="false">(C112-$C$106)/(SQRT((D112^2/E112)+($D$106^2/$E$106)))</f>
        <v>-0.521231633917097</v>
      </c>
    </row>
    <row r="113" customFormat="false" ht="14.65" hidden="false" customHeight="false" outlineLevel="0" collapsed="false">
      <c r="A113" s="1" t="s">
        <v>5</v>
      </c>
      <c r="B113" s="1" t="n">
        <v>6</v>
      </c>
      <c r="C113" s="1" t="n">
        <v>64.9961</v>
      </c>
      <c r="D113" s="1" t="n">
        <v>63.3853</v>
      </c>
      <c r="E113" s="1" t="n">
        <v>1790</v>
      </c>
      <c r="F113" s="1" t="n">
        <f aca="false">(C113-$C$106)/(SQRT((D113^2/E113)+($D$106^2/$E$106)))</f>
        <v>0.102906902187284</v>
      </c>
    </row>
    <row r="114" customFormat="false" ht="14.65" hidden="false" customHeight="false" outlineLevel="0" collapsed="false">
      <c r="A114" s="1" t="s">
        <v>5</v>
      </c>
      <c r="B114" s="1" t="n">
        <v>7</v>
      </c>
      <c r="C114" s="1" t="n">
        <v>65.0972</v>
      </c>
      <c r="D114" s="1" t="n">
        <v>58.3222</v>
      </c>
      <c r="E114" s="1" t="n">
        <v>1234</v>
      </c>
      <c r="F114" s="1" t="n">
        <f aca="false">(C114-$C$106)/(SQRT((D114^2/E114)+($D$106^2/$E$106)))</f>
        <v>0.150645606214766</v>
      </c>
    </row>
    <row r="115" customFormat="false" ht="14.65" hidden="false" customHeight="false" outlineLevel="0" collapsed="false">
      <c r="A115" s="1" t="s">
        <v>5</v>
      </c>
      <c r="B115" s="1" t="n">
        <v>8</v>
      </c>
      <c r="C115" s="1" t="n">
        <v>58.8643</v>
      </c>
      <c r="D115" s="1" t="n">
        <v>54.9683</v>
      </c>
      <c r="E115" s="1" t="n">
        <v>943</v>
      </c>
      <c r="F115" s="1" t="n">
        <f aca="false">(C115-$C$106)/(SQRT((D115^2/E115)+($D$106^2/$E$106)))</f>
        <v>-3.10836601476618</v>
      </c>
    </row>
    <row r="116" customFormat="false" ht="14.65" hidden="false" customHeight="false" outlineLevel="0" collapsed="false">
      <c r="A116" s="1" t="s">
        <v>5</v>
      </c>
      <c r="B116" s="1" t="n">
        <v>9</v>
      </c>
      <c r="C116" s="1" t="n">
        <v>63.3874</v>
      </c>
      <c r="D116" s="1" t="n">
        <v>66.6122</v>
      </c>
      <c r="E116" s="1" t="n">
        <v>653</v>
      </c>
      <c r="F116" s="1" t="n">
        <f aca="false">(C116-$C$106)/(SQRT((D116^2/E116)+($D$106^2/$E$106)))</f>
        <v>-0.533696890284666</v>
      </c>
    </row>
    <row r="117" customFormat="false" ht="14.65" hidden="false" customHeight="false" outlineLevel="0" collapsed="false">
      <c r="A117" s="1" t="s">
        <v>5</v>
      </c>
      <c r="B117" s="1" t="n">
        <v>10</v>
      </c>
      <c r="C117" s="1" t="n">
        <v>68.9873</v>
      </c>
      <c r="D117" s="1" t="n">
        <v>71.3283</v>
      </c>
      <c r="E117" s="1" t="n">
        <v>788</v>
      </c>
      <c r="F117" s="1" t="n">
        <f aca="false">(C117-$C$106)/(SQRT((D117^2/E117)+($D$106^2/$E$106)))</f>
        <v>1.58043644133779</v>
      </c>
    </row>
    <row r="118" customFormat="false" ht="14.65" hidden="false" customHeight="false" outlineLevel="0" collapsed="false">
      <c r="A118" s="1" t="s">
        <v>5</v>
      </c>
      <c r="B118" s="1" t="n">
        <v>11</v>
      </c>
      <c r="C118" s="1" t="n">
        <v>60.6117</v>
      </c>
      <c r="D118" s="1" t="n">
        <v>48.8394</v>
      </c>
      <c r="E118" s="1" t="n">
        <v>376</v>
      </c>
      <c r="F118" s="1" t="n">
        <f aca="false">(C118-$C$106)/(SQRT((D118^2/E118)+($D$106^2/$E$106)))</f>
        <v>-1.61404170898083</v>
      </c>
    </row>
    <row r="119" customFormat="false" ht="14.65" hidden="false" customHeight="false" outlineLevel="0" collapsed="false">
      <c r="A119" s="1" t="s">
        <v>5</v>
      </c>
      <c r="B119" s="1" t="n">
        <v>12</v>
      </c>
      <c r="C119" s="1" t="n">
        <v>71.3208</v>
      </c>
      <c r="D119" s="1" t="n">
        <v>57.0455</v>
      </c>
      <c r="E119" s="1" t="n">
        <v>505</v>
      </c>
      <c r="F119" s="1" t="n">
        <f aca="false">(C119-$C$106)/(SQRT((D119^2/E119)+($D$106^2/$E$106)))</f>
        <v>2.46900995976742</v>
      </c>
    </row>
    <row r="120" customFormat="false" ht="14.65" hidden="false" customHeight="false" outlineLevel="0" collapsed="false">
      <c r="A120" s="1" t="s">
        <v>5</v>
      </c>
      <c r="B120" s="1" t="n">
        <v>13</v>
      </c>
      <c r="C120" s="1" t="n">
        <v>95.1964</v>
      </c>
      <c r="D120" s="1" t="n">
        <v>82.3894</v>
      </c>
      <c r="E120" s="1" t="n">
        <v>56</v>
      </c>
      <c r="F120" s="1" t="n">
        <f aca="false">(C120-$C$106)/(SQRT((D120^2/E120)+($D$106^2/$E$106)))</f>
        <v>2.75307727254335</v>
      </c>
    </row>
    <row r="122" customFormat="false" ht="14.65" hidden="false" customHeight="false" outlineLevel="0" collapsed="false">
      <c r="B122" s="1" t="s">
        <v>14</v>
      </c>
      <c r="C122" s="1" t="s">
        <v>15</v>
      </c>
      <c r="D122" s="1" t="s">
        <v>16</v>
      </c>
      <c r="E122" s="1" t="n">
        <v>8159</v>
      </c>
    </row>
    <row r="123" customFormat="false" ht="14.65" hidden="false" customHeight="false" outlineLevel="0" collapsed="false">
      <c r="A123" s="1" t="s">
        <v>17</v>
      </c>
    </row>
    <row r="127" customFormat="false" ht="14.65" hidden="false" customHeight="false" outlineLevel="0" collapsed="false">
      <c r="A127" s="1" t="s">
        <v>24</v>
      </c>
      <c r="B127" s="1" t="s">
        <v>25</v>
      </c>
      <c r="C127" s="1" t="s">
        <v>26</v>
      </c>
    </row>
    <row r="128" customFormat="false" ht="14.65" hidden="false" customHeight="false" outlineLevel="0" collapsed="false">
      <c r="A128" s="1" t="n">
        <v>1</v>
      </c>
      <c r="B128" s="1" t="n">
        <v>0</v>
      </c>
      <c r="C128" s="1" t="n">
        <v>99</v>
      </c>
    </row>
    <row r="129" customFormat="false" ht="14.65" hidden="false" customHeight="false" outlineLevel="0" collapsed="false">
      <c r="A129" s="1" t="n">
        <v>2</v>
      </c>
      <c r="B129" s="1" t="n">
        <v>100</v>
      </c>
      <c r="C129" s="1" t="n">
        <v>249</v>
      </c>
    </row>
    <row r="130" customFormat="false" ht="14.65" hidden="false" customHeight="false" outlineLevel="0" collapsed="false">
      <c r="A130" s="1" t="n">
        <v>3</v>
      </c>
      <c r="B130" s="1" t="n">
        <v>250</v>
      </c>
      <c r="C130" s="1" t="n">
        <v>499</v>
      </c>
    </row>
    <row r="131" customFormat="false" ht="14.65" hidden="false" customHeight="false" outlineLevel="0" collapsed="false">
      <c r="A131" s="1" t="n">
        <v>4</v>
      </c>
      <c r="B131" s="1" t="n">
        <v>500</v>
      </c>
      <c r="C131" s="1" t="n">
        <v>749</v>
      </c>
    </row>
    <row r="132" customFormat="false" ht="14.65" hidden="false" customHeight="false" outlineLevel="0" collapsed="false">
      <c r="A132" s="1" t="n">
        <v>5</v>
      </c>
      <c r="B132" s="1" t="n">
        <v>750</v>
      </c>
      <c r="C132" s="1" t="n">
        <v>999</v>
      </c>
    </row>
    <row r="133" customFormat="false" ht="14.65" hidden="false" customHeight="false" outlineLevel="0" collapsed="false">
      <c r="A133" s="1" t="n">
        <v>6</v>
      </c>
      <c r="B133" s="1" t="n">
        <v>1000</v>
      </c>
      <c r="C133" s="1" t="n">
        <v>1999</v>
      </c>
    </row>
    <row r="134" customFormat="false" ht="14.65" hidden="false" customHeight="false" outlineLevel="0" collapsed="false">
      <c r="A134" s="1" t="n">
        <v>7</v>
      </c>
      <c r="B134" s="1" t="n">
        <v>2000</v>
      </c>
      <c r="C134" s="1" t="n">
        <v>2999</v>
      </c>
    </row>
    <row r="135" customFormat="false" ht="14.65" hidden="false" customHeight="false" outlineLevel="0" collapsed="false">
      <c r="A135" s="1" t="n">
        <v>8</v>
      </c>
      <c r="B135" s="1" t="n">
        <v>3000</v>
      </c>
      <c r="C135" s="1" t="n">
        <v>3999</v>
      </c>
    </row>
    <row r="136" customFormat="false" ht="14.65" hidden="false" customHeight="false" outlineLevel="0" collapsed="false">
      <c r="A136" s="1" t="n">
        <v>9</v>
      </c>
      <c r="B136" s="1" t="n">
        <v>4000</v>
      </c>
      <c r="C136" s="1" t="n">
        <v>4999</v>
      </c>
    </row>
    <row r="137" customFormat="false" ht="14.65" hidden="false" customHeight="false" outlineLevel="0" collapsed="false">
      <c r="A137" s="1" t="n">
        <v>10</v>
      </c>
      <c r="B137" s="1" t="n">
        <v>5000</v>
      </c>
      <c r="C137" s="1" t="n">
        <v>7499</v>
      </c>
    </row>
    <row r="138" customFormat="false" ht="14.65" hidden="false" customHeight="false" outlineLevel="0" collapsed="false">
      <c r="A138" s="1" t="n">
        <v>11</v>
      </c>
      <c r="B138" s="1" t="n">
        <v>7500</v>
      </c>
      <c r="C138" s="1" t="n">
        <v>9999</v>
      </c>
    </row>
    <row r="139" customFormat="false" ht="14.65" hidden="false" customHeight="false" outlineLevel="0" collapsed="false">
      <c r="A139" s="1" t="n">
        <v>12</v>
      </c>
      <c r="B139" s="1" t="n">
        <v>10000</v>
      </c>
      <c r="C139" s="1" t="n">
        <v>49999</v>
      </c>
    </row>
    <row r="140" customFormat="false" ht="14.65" hidden="false" customHeight="false" outlineLevel="0" collapsed="false">
      <c r="A140" s="1" t="n">
        <v>13</v>
      </c>
      <c r="B140" s="1" t="n">
        <v>50000</v>
      </c>
      <c r="C140" s="1" t="s">
        <v>27</v>
      </c>
    </row>
    <row r="143" customFormat="false" ht="14.65" hidden="false" customHeight="false" outlineLevel="0" collapsed="false">
      <c r="A143" s="1" t="s">
        <v>28</v>
      </c>
      <c r="B143" s="1" t="s">
        <v>29</v>
      </c>
      <c r="C143" s="1" t="s">
        <v>30</v>
      </c>
      <c r="D143" s="1" t="s">
        <v>31</v>
      </c>
      <c r="E143" s="1" t="s">
        <v>32</v>
      </c>
      <c r="F143" s="1" t="s">
        <v>33</v>
      </c>
    </row>
    <row r="144" customFormat="false" ht="14.65" hidden="false" customHeight="false" outlineLevel="0" collapsed="false">
      <c r="A144" s="1" t="s">
        <v>34</v>
      </c>
      <c r="B144" s="1" t="n">
        <v>995.6774</v>
      </c>
      <c r="C144" s="1" t="n">
        <v>223.9516</v>
      </c>
      <c r="D144" s="1" t="n">
        <v>15.5645</v>
      </c>
      <c r="E144" s="1" t="n">
        <v>153.6774</v>
      </c>
      <c r="F144" s="1" t="n">
        <v>51.129</v>
      </c>
    </row>
    <row r="145" customFormat="false" ht="14.65" hidden="false" customHeight="false" outlineLevel="0" collapsed="false">
      <c r="A145" s="1" t="s">
        <v>35</v>
      </c>
      <c r="B145" s="1" t="n">
        <v>984.5622</v>
      </c>
      <c r="C145" s="1" t="n">
        <v>252.3622</v>
      </c>
      <c r="D145" s="1" t="n">
        <v>29.627</v>
      </c>
      <c r="E145" s="1" t="n">
        <v>114.0919</v>
      </c>
      <c r="F145" s="1" t="n">
        <v>59.3568</v>
      </c>
    </row>
    <row r="146" customFormat="false" ht="14.65" hidden="false" customHeight="false" outlineLevel="0" collapsed="false">
      <c r="A146" s="1" t="s">
        <v>36</v>
      </c>
      <c r="B146" s="1" t="n">
        <v>1010.8018</v>
      </c>
      <c r="C146" s="1" t="n">
        <v>236.7926</v>
      </c>
      <c r="D146" s="1" t="n">
        <v>21.8387</v>
      </c>
      <c r="E146" s="1" t="n">
        <v>108.5484</v>
      </c>
      <c r="F146" s="1" t="n">
        <v>62.0184</v>
      </c>
    </row>
    <row r="147" customFormat="false" ht="14.65" hidden="false" customHeight="false" outlineLevel="0" collapsed="false">
      <c r="A147" s="1" t="s">
        <v>37</v>
      </c>
      <c r="B147" s="1" t="n">
        <v>970.7138</v>
      </c>
      <c r="C147" s="1" t="n">
        <v>267.1133</v>
      </c>
      <c r="D147" s="1" t="n">
        <v>20.6395</v>
      </c>
      <c r="E147" s="1" t="n">
        <v>113.6456</v>
      </c>
      <c r="F147" s="1" t="n">
        <v>67.8879</v>
      </c>
    </row>
    <row r="148" customFormat="false" ht="14.65" hidden="false" customHeight="false" outlineLevel="0" collapsed="false">
      <c r="A148" s="1" t="s">
        <v>38</v>
      </c>
      <c r="B148" s="1" t="n">
        <v>998.6314</v>
      </c>
      <c r="C148" s="1" t="n">
        <v>251.5936</v>
      </c>
      <c r="D148" s="1" t="n">
        <v>24.4197</v>
      </c>
      <c r="E148" s="1" t="n">
        <v>102.0284</v>
      </c>
      <c r="F148" s="1" t="n">
        <v>63.327</v>
      </c>
    </row>
    <row r="149" customFormat="false" ht="14.65" hidden="false" customHeight="false" outlineLevel="0" collapsed="false">
      <c r="A149" s="1" t="s">
        <v>39</v>
      </c>
      <c r="B149" s="1" t="n">
        <v>996.848</v>
      </c>
      <c r="C149" s="1" t="n">
        <v>242.9899</v>
      </c>
      <c r="D149" s="1" t="n">
        <v>20.586</v>
      </c>
      <c r="E149" s="1" t="n">
        <v>114.5799</v>
      </c>
      <c r="F149" s="1" t="n">
        <v>64.9961</v>
      </c>
    </row>
    <row r="150" customFormat="false" ht="14.65" hidden="false" customHeight="false" outlineLevel="0" collapsed="false">
      <c r="A150" s="1" t="s">
        <v>40</v>
      </c>
      <c r="B150" s="1" t="n">
        <v>972.5243</v>
      </c>
      <c r="C150" s="1" t="n">
        <v>271.1491</v>
      </c>
      <c r="D150" s="1" t="n">
        <v>19.4173</v>
      </c>
      <c r="E150" s="1" t="n">
        <v>111.812</v>
      </c>
      <c r="F150" s="1" t="n">
        <v>65.0972</v>
      </c>
    </row>
    <row r="151" customFormat="false" ht="14.65" hidden="false" customHeight="false" outlineLevel="0" collapsed="false">
      <c r="A151" s="1" t="s">
        <v>41</v>
      </c>
      <c r="B151" s="1" t="n">
        <v>993.8505</v>
      </c>
      <c r="C151" s="1" t="n">
        <v>267.3065</v>
      </c>
      <c r="D151" s="1" t="n">
        <v>19.8282</v>
      </c>
      <c r="E151" s="1" t="n">
        <v>100.1506</v>
      </c>
      <c r="F151" s="1" t="n">
        <v>58.8643</v>
      </c>
    </row>
    <row r="152" customFormat="false" ht="14.65" hidden="false" customHeight="false" outlineLevel="0" collapsed="false">
      <c r="A152" s="1" t="s">
        <v>42</v>
      </c>
      <c r="B152" s="1" t="n">
        <v>960.4962</v>
      </c>
      <c r="C152" s="1" t="n">
        <v>280.9801</v>
      </c>
      <c r="D152" s="1" t="n">
        <v>21.5038</v>
      </c>
      <c r="E152" s="1" t="n">
        <v>113.6325</v>
      </c>
      <c r="F152" s="1" t="n">
        <v>63.3874</v>
      </c>
    </row>
    <row r="153" customFormat="false" ht="14.65" hidden="false" customHeight="false" outlineLevel="0" collapsed="false">
      <c r="A153" s="1" t="s">
        <v>43</v>
      </c>
      <c r="B153" s="1" t="n">
        <v>973.3579</v>
      </c>
      <c r="C153" s="1" t="n">
        <v>260.0393</v>
      </c>
      <c r="D153" s="1" t="n">
        <v>24.0393</v>
      </c>
      <c r="E153" s="1" t="n">
        <v>113.5761</v>
      </c>
      <c r="F153" s="1" t="n">
        <v>68.9873</v>
      </c>
    </row>
    <row r="154" customFormat="false" ht="14.65" hidden="false" customHeight="false" outlineLevel="0" collapsed="false">
      <c r="A154" s="1" t="s">
        <v>44</v>
      </c>
      <c r="B154" s="1" t="n">
        <v>1010.2952</v>
      </c>
      <c r="C154" s="1" t="n">
        <v>238.5665</v>
      </c>
      <c r="D154" s="1" t="n">
        <v>24.7766</v>
      </c>
      <c r="E154" s="1" t="n">
        <v>105.75</v>
      </c>
      <c r="F154" s="1" t="n">
        <v>60.6117</v>
      </c>
    </row>
    <row r="155" customFormat="false" ht="14.65" hidden="false" customHeight="false" outlineLevel="0" collapsed="false">
      <c r="A155" s="1" t="s">
        <v>45</v>
      </c>
      <c r="B155" s="1" t="n">
        <v>979.6158</v>
      </c>
      <c r="C155" s="1" t="n">
        <v>271.4416</v>
      </c>
      <c r="D155" s="1" t="n">
        <v>20.2772</v>
      </c>
      <c r="E155" s="1" t="n">
        <v>97.3446</v>
      </c>
      <c r="F155" s="1" t="n">
        <v>71.3208</v>
      </c>
    </row>
    <row r="156" customFormat="false" ht="14.65" hidden="false" customHeight="false" outlineLevel="0" collapsed="false">
      <c r="A156" s="1" t="s">
        <v>46</v>
      </c>
      <c r="B156" s="1" t="n">
        <v>911.0536</v>
      </c>
      <c r="C156" s="1" t="n">
        <v>331.4643</v>
      </c>
      <c r="D156" s="1" t="n">
        <v>11</v>
      </c>
      <c r="E156" s="1" t="n">
        <v>91.2857</v>
      </c>
      <c r="F156" s="1" t="n">
        <v>95.1964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54"/>
  <sheetViews>
    <sheetView showFormulas="false" showGridLines="true" showRowColHeaders="true" showZeros="true" rightToLeft="false" tabSelected="false" showOutlineSymbols="true" defaultGridColor="true" view="normal" topLeftCell="A140" colorId="64" zoomScale="100" zoomScaleNormal="100" zoomScalePageLayoutView="100" workbookViewId="0">
      <selection pane="topLeft" activeCell="B151" activeCellId="0" sqref="B151:M154 B151:M154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2" style="1" width="5.85"/>
    <col collapsed="false" customWidth="true" hidden="false" outlineLevel="0" max="3" min="3" style="1" width="5.28"/>
    <col collapsed="false" customWidth="true" hidden="false" outlineLevel="0" max="4" min="4" style="1" width="7.71"/>
    <col collapsed="false" customWidth="true" hidden="false" outlineLevel="0" max="5" min="5" style="1" width="5.42"/>
    <col collapsed="false" customWidth="true" hidden="false" outlineLevel="0" max="6" min="6" style="1" width="7.71"/>
    <col collapsed="false" customWidth="true" hidden="false" outlineLevel="0" max="7" min="7" style="1" width="5.14"/>
    <col collapsed="false" customWidth="true" hidden="false" outlineLevel="0" max="8" min="8" style="1" width="7.71"/>
    <col collapsed="false" customWidth="true" hidden="false" outlineLevel="0" max="9" min="9" style="1" width="5.56"/>
    <col collapsed="false" customWidth="true" hidden="false" outlineLevel="0" max="10" min="10" style="1" width="7.71"/>
    <col collapsed="false" customWidth="true" hidden="false" outlineLevel="0" max="11" min="11" style="1" width="6.42"/>
    <col collapsed="false" customWidth="true" hidden="false" outlineLevel="0" max="12" min="12" style="1" width="7.71"/>
    <col collapsed="false" customWidth="true" hidden="false" outlineLevel="0" max="13" min="13" style="1" width="4.99"/>
  </cols>
  <sheetData>
    <row r="2" customFormat="false" ht="14.65" hidden="false" customHeight="false" outlineLevel="0" collapsed="false">
      <c r="A2" s="1" t="s">
        <v>0</v>
      </c>
      <c r="B2" s="1" t="s">
        <v>1</v>
      </c>
      <c r="C2" s="1" t="s">
        <v>2</v>
      </c>
    </row>
    <row r="3" customFormat="false" ht="14.65" hidden="false" customHeight="false" outlineLevel="0" collapsed="false">
      <c r="A3" s="1" t="s">
        <v>3</v>
      </c>
      <c r="B3" s="1" t="s">
        <v>4</v>
      </c>
      <c r="C3" s="1" t="s">
        <v>1</v>
      </c>
      <c r="D3" s="1" t="s">
        <v>47</v>
      </c>
    </row>
    <row r="5" customFormat="false" ht="14.65" hidden="false" customHeight="false" outlineLevel="0" collapsed="false">
      <c r="A5" s="1" t="s">
        <v>6</v>
      </c>
      <c r="B5" s="1" t="s">
        <v>7</v>
      </c>
      <c r="C5" s="1" t="s">
        <v>48</v>
      </c>
      <c r="D5" s="1" t="s">
        <v>8</v>
      </c>
      <c r="E5" s="1" t="s">
        <v>49</v>
      </c>
      <c r="F5" s="1" t="s">
        <v>50</v>
      </c>
      <c r="G5" s="1" t="s">
        <v>15</v>
      </c>
    </row>
    <row r="7" customFormat="false" ht="14.65" hidden="false" customHeight="false" outlineLevel="0" collapsed="false">
      <c r="A7" s="1" t="s">
        <v>12</v>
      </c>
      <c r="B7" s="1" t="s">
        <v>13</v>
      </c>
      <c r="C7" s="1" t="n">
        <v>984.1785</v>
      </c>
      <c r="D7" s="1" t="n">
        <v>257.4312</v>
      </c>
      <c r="E7" s="1" t="n">
        <v>8159</v>
      </c>
    </row>
    <row r="9" customFormat="false" ht="14.65" hidden="false" customHeight="false" outlineLevel="0" collapsed="false">
      <c r="A9" s="1" t="s">
        <v>47</v>
      </c>
      <c r="B9" s="1" t="n">
        <v>0</v>
      </c>
      <c r="C9" s="1" t="n">
        <v>1176.0466</v>
      </c>
      <c r="D9" s="1" t="n">
        <v>208.4525</v>
      </c>
      <c r="E9" s="1" t="n">
        <v>1482</v>
      </c>
      <c r="F9" s="1" t="n">
        <v>31.3559540847708</v>
      </c>
    </row>
    <row r="10" customFormat="false" ht="14.65" hidden="false" customHeight="false" outlineLevel="0" collapsed="false">
      <c r="A10" s="1" t="s">
        <v>47</v>
      </c>
      <c r="B10" s="1" t="n">
        <v>1</v>
      </c>
      <c r="C10" s="1" t="n">
        <v>941.5922</v>
      </c>
      <c r="D10" s="1" t="n">
        <v>247.7029</v>
      </c>
      <c r="E10" s="1" t="n">
        <v>6677</v>
      </c>
      <c r="F10" s="1" t="n">
        <v>-10.2352919215509</v>
      </c>
    </row>
    <row r="12" customFormat="false" ht="14.65" hidden="false" customHeight="false" outlineLevel="0" collapsed="false">
      <c r="B12" s="1" t="s">
        <v>14</v>
      </c>
      <c r="C12" s="1" t="s">
        <v>15</v>
      </c>
      <c r="D12" s="1" t="s">
        <v>16</v>
      </c>
      <c r="E12" s="1" t="n">
        <v>8159</v>
      </c>
    </row>
    <row r="13" customFormat="false" ht="14.65" hidden="false" customHeight="false" outlineLevel="0" collapsed="false">
      <c r="A13" s="1" t="s">
        <v>17</v>
      </c>
    </row>
    <row r="14" customFormat="false" ht="14.65" hidden="false" customHeight="false" outlineLevel="0" collapsed="false">
      <c r="A14" s="1" t="s">
        <v>18</v>
      </c>
      <c r="B14" s="1" t="n">
        <v>15</v>
      </c>
      <c r="C14" s="1" t="s">
        <v>19</v>
      </c>
      <c r="D14" s="2" t="n">
        <v>33957</v>
      </c>
    </row>
    <row r="16" customFormat="false" ht="14.65" hidden="false" customHeight="false" outlineLevel="0" collapsed="false">
      <c r="A16" s="1" t="s">
        <v>0</v>
      </c>
      <c r="B16" s="1" t="s">
        <v>1</v>
      </c>
      <c r="C16" s="1" t="s">
        <v>20</v>
      </c>
    </row>
    <row r="17" customFormat="false" ht="14.65" hidden="false" customHeight="false" outlineLevel="0" collapsed="false">
      <c r="A17" s="1" t="s">
        <v>3</v>
      </c>
      <c r="B17" s="1" t="s">
        <v>4</v>
      </c>
      <c r="C17" s="1" t="s">
        <v>1</v>
      </c>
      <c r="D17" s="1" t="s">
        <v>47</v>
      </c>
    </row>
    <row r="19" customFormat="false" ht="14.65" hidden="false" customHeight="false" outlineLevel="0" collapsed="false">
      <c r="A19" s="1" t="s">
        <v>6</v>
      </c>
      <c r="B19" s="1" t="s">
        <v>7</v>
      </c>
      <c r="C19" s="1" t="s">
        <v>48</v>
      </c>
      <c r="D19" s="1" t="s">
        <v>8</v>
      </c>
      <c r="E19" s="1" t="s">
        <v>49</v>
      </c>
      <c r="F19" s="1" t="s">
        <v>50</v>
      </c>
      <c r="G19" s="1" t="s">
        <v>15</v>
      </c>
    </row>
    <row r="21" customFormat="false" ht="14.65" hidden="false" customHeight="false" outlineLevel="0" collapsed="false">
      <c r="A21" s="1" t="s">
        <v>12</v>
      </c>
      <c r="B21" s="1" t="s">
        <v>13</v>
      </c>
      <c r="C21" s="1" t="n">
        <v>259.7991</v>
      </c>
      <c r="D21" s="1" t="n">
        <v>271.2033</v>
      </c>
      <c r="E21" s="1" t="n">
        <v>8159</v>
      </c>
    </row>
    <row r="23" customFormat="false" ht="14.65" hidden="false" customHeight="false" outlineLevel="0" collapsed="false">
      <c r="A23" s="1" t="s">
        <v>47</v>
      </c>
      <c r="B23" s="1" t="n">
        <v>0</v>
      </c>
      <c r="C23" s="1" t="n">
        <v>9.3941</v>
      </c>
      <c r="D23" s="1" t="n">
        <v>65.3009</v>
      </c>
      <c r="E23" s="1" t="n">
        <v>1482</v>
      </c>
      <c r="F23" s="1" t="n">
        <v>-72.6129846708111</v>
      </c>
    </row>
    <row r="24" customFormat="false" ht="14.65" hidden="false" customHeight="false" outlineLevel="0" collapsed="false">
      <c r="A24" s="1" t="s">
        <v>47</v>
      </c>
      <c r="B24" s="1" t="n">
        <v>1</v>
      </c>
      <c r="C24" s="1" t="n">
        <v>315.378</v>
      </c>
      <c r="D24" s="1" t="n">
        <v>268.1866</v>
      </c>
      <c r="E24" s="1" t="n">
        <v>6677</v>
      </c>
      <c r="F24" s="1" t="n">
        <v>12.4946426941302</v>
      </c>
    </row>
    <row r="26" customFormat="false" ht="14.65" hidden="false" customHeight="false" outlineLevel="0" collapsed="false">
      <c r="B26" s="1" t="s">
        <v>14</v>
      </c>
      <c r="C26" s="1" t="s">
        <v>15</v>
      </c>
      <c r="D26" s="1" t="s">
        <v>16</v>
      </c>
      <c r="E26" s="1" t="n">
        <v>8159</v>
      </c>
    </row>
    <row r="27" customFormat="false" ht="14.65" hidden="false" customHeight="false" outlineLevel="0" collapsed="false">
      <c r="A27" s="1" t="s">
        <v>17</v>
      </c>
    </row>
    <row r="28" customFormat="false" ht="14.65" hidden="false" customHeight="false" outlineLevel="0" collapsed="false">
      <c r="A28" s="1" t="s">
        <v>18</v>
      </c>
      <c r="B28" s="1" t="n">
        <v>16</v>
      </c>
      <c r="C28" s="1" t="s">
        <v>19</v>
      </c>
      <c r="D28" s="2" t="n">
        <v>33957</v>
      </c>
    </row>
    <row r="30" customFormat="false" ht="14.65" hidden="false" customHeight="false" outlineLevel="0" collapsed="false">
      <c r="A30" s="1" t="s">
        <v>0</v>
      </c>
      <c r="B30" s="1" t="s">
        <v>1</v>
      </c>
      <c r="C30" s="1" t="s">
        <v>21</v>
      </c>
    </row>
    <row r="31" customFormat="false" ht="14.65" hidden="false" customHeight="false" outlineLevel="0" collapsed="false">
      <c r="A31" s="1" t="s">
        <v>3</v>
      </c>
      <c r="B31" s="1" t="s">
        <v>4</v>
      </c>
      <c r="C31" s="1" t="s">
        <v>1</v>
      </c>
      <c r="D31" s="1" t="s">
        <v>47</v>
      </c>
    </row>
    <row r="33" customFormat="false" ht="14.65" hidden="false" customHeight="false" outlineLevel="0" collapsed="false">
      <c r="A33" s="1" t="s">
        <v>6</v>
      </c>
      <c r="B33" s="1" t="s">
        <v>7</v>
      </c>
      <c r="C33" s="1" t="s">
        <v>48</v>
      </c>
      <c r="D33" s="1" t="s">
        <v>8</v>
      </c>
      <c r="E33" s="1" t="s">
        <v>49</v>
      </c>
      <c r="F33" s="1" t="s">
        <v>50</v>
      </c>
      <c r="G33" s="1" t="s">
        <v>15</v>
      </c>
    </row>
    <row r="35" customFormat="false" ht="14.65" hidden="false" customHeight="false" outlineLevel="0" collapsed="false">
      <c r="A35" s="1" t="s">
        <v>12</v>
      </c>
      <c r="B35" s="1" t="s">
        <v>13</v>
      </c>
      <c r="C35" s="1" t="n">
        <v>21.291</v>
      </c>
      <c r="D35" s="1" t="n">
        <v>56.2797</v>
      </c>
      <c r="E35" s="1" t="n">
        <v>8159</v>
      </c>
    </row>
    <row r="37" customFormat="false" ht="14.65" hidden="false" customHeight="false" outlineLevel="0" collapsed="false">
      <c r="A37" s="1" t="s">
        <v>47</v>
      </c>
      <c r="B37" s="1" t="n">
        <v>0</v>
      </c>
      <c r="C37" s="1" t="n">
        <v>30.7193</v>
      </c>
      <c r="D37" s="1" t="n">
        <v>59.2643</v>
      </c>
      <c r="E37" s="1" t="n">
        <v>1482</v>
      </c>
      <c r="F37" s="1" t="n">
        <v>5.67706846213788</v>
      </c>
    </row>
    <row r="38" customFormat="false" ht="14.65" hidden="false" customHeight="false" outlineLevel="0" collapsed="false">
      <c r="A38" s="1" t="s">
        <v>47</v>
      </c>
      <c r="B38" s="1" t="n">
        <v>1</v>
      </c>
      <c r="C38" s="1" t="n">
        <v>19.1983</v>
      </c>
      <c r="D38" s="1" t="n">
        <v>55.3829</v>
      </c>
      <c r="E38" s="1" t="n">
        <v>6677</v>
      </c>
      <c r="F38" s="1" t="n">
        <v>-2.27307961920898</v>
      </c>
    </row>
    <row r="40" customFormat="false" ht="14.65" hidden="false" customHeight="false" outlineLevel="0" collapsed="false">
      <c r="B40" s="1" t="s">
        <v>14</v>
      </c>
      <c r="C40" s="1" t="s">
        <v>15</v>
      </c>
      <c r="D40" s="1" t="s">
        <v>16</v>
      </c>
      <c r="E40" s="1" t="n">
        <v>8159</v>
      </c>
    </row>
    <row r="41" customFormat="false" ht="14.65" hidden="false" customHeight="false" outlineLevel="0" collapsed="false">
      <c r="A41" s="1" t="s">
        <v>17</v>
      </c>
    </row>
    <row r="42" customFormat="false" ht="14.65" hidden="false" customHeight="false" outlineLevel="0" collapsed="false">
      <c r="A42" s="1" t="s">
        <v>18</v>
      </c>
      <c r="B42" s="1" t="n">
        <v>17</v>
      </c>
      <c r="C42" s="1" t="s">
        <v>19</v>
      </c>
      <c r="D42" s="2" t="n">
        <v>33957</v>
      </c>
    </row>
    <row r="44" customFormat="false" ht="14.65" hidden="false" customHeight="false" outlineLevel="0" collapsed="false">
      <c r="A44" s="1" t="s">
        <v>0</v>
      </c>
      <c r="B44" s="1" t="s">
        <v>1</v>
      </c>
      <c r="C44" s="1" t="s">
        <v>22</v>
      </c>
    </row>
    <row r="45" customFormat="false" ht="14.65" hidden="false" customHeight="false" outlineLevel="0" collapsed="false">
      <c r="A45" s="1" t="s">
        <v>3</v>
      </c>
      <c r="B45" s="1" t="s">
        <v>4</v>
      </c>
      <c r="C45" s="1" t="s">
        <v>1</v>
      </c>
      <c r="D45" s="1" t="s">
        <v>47</v>
      </c>
    </row>
    <row r="47" customFormat="false" ht="14.65" hidden="false" customHeight="false" outlineLevel="0" collapsed="false">
      <c r="A47" s="1" t="s">
        <v>6</v>
      </c>
      <c r="B47" s="1" t="s">
        <v>7</v>
      </c>
      <c r="C47" s="1" t="s">
        <v>48</v>
      </c>
      <c r="D47" s="1" t="s">
        <v>8</v>
      </c>
      <c r="E47" s="1" t="s">
        <v>49</v>
      </c>
      <c r="F47" s="1" t="s">
        <v>50</v>
      </c>
      <c r="G47" s="1" t="s">
        <v>15</v>
      </c>
    </row>
    <row r="49" customFormat="false" ht="14.65" hidden="false" customHeight="false" outlineLevel="0" collapsed="false">
      <c r="A49" s="1" t="s">
        <v>12</v>
      </c>
      <c r="B49" s="1" t="s">
        <v>13</v>
      </c>
      <c r="C49" s="1" t="n">
        <v>109.905</v>
      </c>
      <c r="D49" s="1" t="n">
        <v>158.4693</v>
      </c>
      <c r="E49" s="1" t="n">
        <v>8159</v>
      </c>
    </row>
    <row r="51" customFormat="false" ht="14.65" hidden="false" customHeight="false" outlineLevel="0" collapsed="false">
      <c r="A51" s="1" t="s">
        <v>47</v>
      </c>
      <c r="B51" s="1" t="n">
        <v>0</v>
      </c>
      <c r="C51" s="1" t="n">
        <v>165.0695</v>
      </c>
      <c r="D51" s="1" t="n">
        <v>185.9259</v>
      </c>
      <c r="E51" s="1" t="n">
        <v>1482</v>
      </c>
      <c r="F51" s="1" t="n">
        <v>10.7356798696856</v>
      </c>
    </row>
    <row r="52" customFormat="false" ht="14.65" hidden="false" customHeight="false" outlineLevel="0" collapsed="false">
      <c r="A52" s="1" t="s">
        <v>47</v>
      </c>
      <c r="B52" s="1" t="n">
        <v>1</v>
      </c>
      <c r="C52" s="1" t="n">
        <v>97.6609</v>
      </c>
      <c r="D52" s="1" t="n">
        <v>148.9735</v>
      </c>
      <c r="E52" s="1" t="n">
        <v>6677</v>
      </c>
      <c r="F52" s="1" t="n">
        <v>-4.83926076483848</v>
      </c>
    </row>
    <row r="54" customFormat="false" ht="14.65" hidden="false" customHeight="false" outlineLevel="0" collapsed="false">
      <c r="B54" s="1" t="s">
        <v>14</v>
      </c>
      <c r="C54" s="1" t="s">
        <v>15</v>
      </c>
      <c r="D54" s="1" t="s">
        <v>16</v>
      </c>
      <c r="E54" s="1" t="n">
        <v>8159</v>
      </c>
    </row>
    <row r="55" customFormat="false" ht="14.65" hidden="false" customHeight="false" outlineLevel="0" collapsed="false">
      <c r="A55" s="1" t="s">
        <v>17</v>
      </c>
    </row>
    <row r="56" customFormat="false" ht="14.65" hidden="false" customHeight="false" outlineLevel="0" collapsed="false">
      <c r="A56" s="1" t="s">
        <v>18</v>
      </c>
      <c r="B56" s="1" t="n">
        <v>18</v>
      </c>
      <c r="C56" s="1" t="s">
        <v>19</v>
      </c>
      <c r="D56" s="2" t="n">
        <v>33957</v>
      </c>
    </row>
    <row r="58" customFormat="false" ht="14.65" hidden="false" customHeight="false" outlineLevel="0" collapsed="false">
      <c r="A58" s="1" t="s">
        <v>0</v>
      </c>
      <c r="B58" s="1" t="s">
        <v>1</v>
      </c>
      <c r="C58" s="1" t="s">
        <v>23</v>
      </c>
    </row>
    <row r="59" customFormat="false" ht="14.65" hidden="false" customHeight="false" outlineLevel="0" collapsed="false">
      <c r="A59" s="1" t="s">
        <v>3</v>
      </c>
      <c r="B59" s="1" t="s">
        <v>4</v>
      </c>
      <c r="C59" s="1" t="s">
        <v>1</v>
      </c>
      <c r="D59" s="1" t="s">
        <v>47</v>
      </c>
    </row>
    <row r="61" customFormat="false" ht="14.65" hidden="false" customHeight="false" outlineLevel="0" collapsed="false">
      <c r="A61" s="1" t="s">
        <v>6</v>
      </c>
      <c r="B61" s="1" t="s">
        <v>7</v>
      </c>
      <c r="C61" s="1" t="s">
        <v>48</v>
      </c>
      <c r="D61" s="1" t="s">
        <v>8</v>
      </c>
      <c r="E61" s="1" t="s">
        <v>49</v>
      </c>
      <c r="F61" s="1" t="s">
        <v>50</v>
      </c>
      <c r="G61" s="1" t="s">
        <v>15</v>
      </c>
    </row>
    <row r="63" customFormat="false" ht="14.65" hidden="false" customHeight="false" outlineLevel="0" collapsed="false">
      <c r="A63" s="1" t="s">
        <v>12</v>
      </c>
      <c r="B63" s="1" t="s">
        <v>13</v>
      </c>
      <c r="C63" s="1" t="n">
        <v>64.8264</v>
      </c>
      <c r="D63" s="1" t="n">
        <v>62.2463</v>
      </c>
      <c r="E63" s="1" t="n">
        <v>8159</v>
      </c>
    </row>
    <row r="65" customFormat="false" ht="14.65" hidden="false" customHeight="false" outlineLevel="0" collapsed="false">
      <c r="A65" s="1" t="s">
        <v>47</v>
      </c>
      <c r="B65" s="1" t="n">
        <v>0</v>
      </c>
      <c r="C65" s="1" t="n">
        <v>58.7706</v>
      </c>
      <c r="D65" s="1" t="n">
        <v>66.2414</v>
      </c>
      <c r="E65" s="1" t="n">
        <v>1482</v>
      </c>
      <c r="F65" s="1" t="n">
        <v>-3.26711176586131</v>
      </c>
    </row>
    <row r="66" customFormat="false" ht="14.65" hidden="false" customHeight="false" outlineLevel="0" collapsed="false">
      <c r="A66" s="1" t="s">
        <v>47</v>
      </c>
      <c r="B66" s="1" t="n">
        <v>1</v>
      </c>
      <c r="C66" s="1" t="n">
        <v>66.1706</v>
      </c>
      <c r="D66" s="1" t="n">
        <v>61.2483</v>
      </c>
      <c r="E66" s="1" t="n">
        <v>6677</v>
      </c>
      <c r="F66" s="1" t="n">
        <v>1.32018054892123</v>
      </c>
    </row>
    <row r="68" customFormat="false" ht="14.65" hidden="false" customHeight="false" outlineLevel="0" collapsed="false">
      <c r="B68" s="1" t="s">
        <v>14</v>
      </c>
      <c r="C68" s="1" t="s">
        <v>15</v>
      </c>
      <c r="D68" s="1" t="s">
        <v>16</v>
      </c>
      <c r="E68" s="1" t="n">
        <v>8159</v>
      </c>
    </row>
    <row r="69" customFormat="false" ht="14.65" hidden="false" customHeight="false" outlineLevel="0" collapsed="false">
      <c r="A69" s="1" t="s">
        <v>17</v>
      </c>
    </row>
    <row r="70" customFormat="false" ht="14.65" hidden="false" customHeight="false" outlineLevel="0" collapsed="false">
      <c r="A70" s="1" t="s">
        <v>18</v>
      </c>
      <c r="B70" s="1" t="n">
        <v>19</v>
      </c>
      <c r="C70" s="1" t="s">
        <v>19</v>
      </c>
      <c r="D70" s="2" t="n">
        <v>33957</v>
      </c>
    </row>
    <row r="72" customFormat="false" ht="14.65" hidden="false" customHeight="false" outlineLevel="0" collapsed="false">
      <c r="A72" s="1" t="s">
        <v>51</v>
      </c>
      <c r="B72" s="1" t="s">
        <v>52</v>
      </c>
      <c r="C72" s="1" t="s">
        <v>53</v>
      </c>
      <c r="D72" s="1" t="s">
        <v>54</v>
      </c>
      <c r="E72" s="1" t="s">
        <v>55</v>
      </c>
      <c r="F72" s="3" t="n">
        <v>0.455706018518519</v>
      </c>
    </row>
    <row r="73" customFormat="false" ht="14.65" hidden="false" customHeight="false" outlineLevel="0" collapsed="false">
      <c r="A73" s="1" t="s">
        <v>56</v>
      </c>
      <c r="B73" s="1" t="s">
        <v>57</v>
      </c>
      <c r="C73" s="1" t="s">
        <v>58</v>
      </c>
      <c r="D73" s="1" t="s">
        <v>59</v>
      </c>
      <c r="E73" s="1" t="s">
        <v>60</v>
      </c>
      <c r="F73" s="1" t="s">
        <v>61</v>
      </c>
      <c r="G73" s="1" t="s">
        <v>62</v>
      </c>
      <c r="H73" s="1" t="s">
        <v>63</v>
      </c>
      <c r="I73" s="1" t="s">
        <v>64</v>
      </c>
    </row>
    <row r="75" customFormat="false" ht="14.65" hidden="false" customHeight="false" outlineLevel="0" collapsed="false">
      <c r="A75" s="1" t="s">
        <v>65</v>
      </c>
      <c r="B75" s="1" t="s">
        <v>66</v>
      </c>
      <c r="C75" s="1" t="s">
        <v>67</v>
      </c>
      <c r="D75" s="1" t="s">
        <v>68</v>
      </c>
      <c r="E75" s="1" t="s">
        <v>69</v>
      </c>
      <c r="F75" s="1" t="n">
        <v>6858</v>
      </c>
      <c r="G75" s="1" t="s">
        <v>70</v>
      </c>
      <c r="H75" s="1" t="s">
        <v>71</v>
      </c>
      <c r="I75" s="1" t="n">
        <v>1</v>
      </c>
      <c r="J75" s="1" t="s">
        <v>72</v>
      </c>
      <c r="K75" s="1" t="s">
        <v>69</v>
      </c>
      <c r="L75" s="1" t="s">
        <v>73</v>
      </c>
    </row>
    <row r="78" customFormat="false" ht="14.65" hidden="false" customHeight="false" outlineLevel="0" collapsed="false">
      <c r="A78" s="1" t="s">
        <v>17</v>
      </c>
    </row>
    <row r="79" customFormat="false" ht="14.65" hidden="false" customHeight="false" outlineLevel="0" collapsed="false">
      <c r="A79" s="1" t="s">
        <v>18</v>
      </c>
      <c r="B79" s="1" t="n">
        <v>20</v>
      </c>
      <c r="C79" s="1" t="s">
        <v>19</v>
      </c>
      <c r="D79" s="2" t="n">
        <v>33957</v>
      </c>
    </row>
    <row r="81" customFormat="false" ht="14.65" hidden="false" customHeight="false" outlineLevel="0" collapsed="false">
      <c r="A81" s="1" t="s">
        <v>0</v>
      </c>
      <c r="B81" s="1" t="s">
        <v>1</v>
      </c>
      <c r="C81" s="1" t="s">
        <v>2</v>
      </c>
    </row>
    <row r="82" customFormat="false" ht="14.65" hidden="false" customHeight="false" outlineLevel="0" collapsed="false">
      <c r="A82" s="1" t="s">
        <v>3</v>
      </c>
      <c r="B82" s="1" t="s">
        <v>4</v>
      </c>
      <c r="C82" s="1" t="s">
        <v>1</v>
      </c>
      <c r="D82" s="1" t="s">
        <v>74</v>
      </c>
    </row>
    <row r="84" customFormat="false" ht="14.65" hidden="false" customHeight="false" outlineLevel="0" collapsed="false">
      <c r="A84" s="1" t="s">
        <v>6</v>
      </c>
      <c r="B84" s="1" t="s">
        <v>7</v>
      </c>
      <c r="C84" s="1" t="s">
        <v>48</v>
      </c>
      <c r="D84" s="1" t="s">
        <v>8</v>
      </c>
      <c r="E84" s="1" t="s">
        <v>49</v>
      </c>
      <c r="F84" s="1" t="s">
        <v>50</v>
      </c>
      <c r="G84" s="1" t="s">
        <v>15</v>
      </c>
    </row>
    <row r="86" customFormat="false" ht="14.65" hidden="false" customHeight="false" outlineLevel="0" collapsed="false">
      <c r="A86" s="1" t="s">
        <v>12</v>
      </c>
      <c r="B86" s="1" t="s">
        <v>13</v>
      </c>
      <c r="C86" s="1" t="n">
        <v>984.1785</v>
      </c>
      <c r="D86" s="1" t="n">
        <v>257.4312</v>
      </c>
      <c r="E86" s="1" t="n">
        <v>8159</v>
      </c>
    </row>
    <row r="88" customFormat="false" ht="14.65" hidden="false" customHeight="false" outlineLevel="0" collapsed="false">
      <c r="A88" s="1" t="s">
        <v>74</v>
      </c>
      <c r="B88" s="1" t="n">
        <v>1</v>
      </c>
      <c r="C88" s="1" t="n">
        <v>949.1881</v>
      </c>
      <c r="D88" s="1" t="n">
        <v>261.0453</v>
      </c>
      <c r="E88" s="1" t="n">
        <v>4089</v>
      </c>
      <c r="F88" s="1" t="n">
        <v>-7.02797342975129</v>
      </c>
    </row>
    <row r="89" customFormat="false" ht="14.65" hidden="false" customHeight="false" outlineLevel="0" collapsed="false">
      <c r="A89" s="1" t="s">
        <v>74</v>
      </c>
      <c r="B89" s="1" t="n">
        <v>2</v>
      </c>
      <c r="C89" s="1" t="n">
        <v>1019.3322</v>
      </c>
      <c r="D89" s="1" t="n">
        <v>248.8737</v>
      </c>
      <c r="E89" s="1" t="n">
        <v>4070</v>
      </c>
      <c r="F89" s="1" t="n">
        <v>7.27636956418031</v>
      </c>
    </row>
    <row r="91" customFormat="false" ht="14.65" hidden="false" customHeight="false" outlineLevel="0" collapsed="false">
      <c r="B91" s="1" t="s">
        <v>14</v>
      </c>
      <c r="C91" s="1" t="s">
        <v>15</v>
      </c>
      <c r="D91" s="1" t="s">
        <v>16</v>
      </c>
      <c r="E91" s="1" t="n">
        <v>8159</v>
      </c>
    </row>
    <row r="92" customFormat="false" ht="14.65" hidden="false" customHeight="false" outlineLevel="0" collapsed="false">
      <c r="A92" s="1" t="s">
        <v>17</v>
      </c>
    </row>
    <row r="93" customFormat="false" ht="14.65" hidden="false" customHeight="false" outlineLevel="0" collapsed="false">
      <c r="A93" s="1" t="s">
        <v>18</v>
      </c>
      <c r="B93" s="1" t="n">
        <v>21</v>
      </c>
      <c r="C93" s="1" t="s">
        <v>19</v>
      </c>
      <c r="D93" s="2" t="n">
        <v>33957</v>
      </c>
    </row>
    <row r="95" customFormat="false" ht="14.65" hidden="false" customHeight="false" outlineLevel="0" collapsed="false">
      <c r="A95" s="1" t="s">
        <v>0</v>
      </c>
      <c r="B95" s="1" t="s">
        <v>1</v>
      </c>
      <c r="C95" s="1" t="s">
        <v>20</v>
      </c>
    </row>
    <row r="96" customFormat="false" ht="14.65" hidden="false" customHeight="false" outlineLevel="0" collapsed="false">
      <c r="A96" s="1" t="s">
        <v>3</v>
      </c>
      <c r="B96" s="1" t="s">
        <v>4</v>
      </c>
      <c r="C96" s="1" t="s">
        <v>1</v>
      </c>
      <c r="D96" s="1" t="s">
        <v>74</v>
      </c>
    </row>
    <row r="98" customFormat="false" ht="14.65" hidden="false" customHeight="false" outlineLevel="0" collapsed="false">
      <c r="A98" s="1" t="s">
        <v>6</v>
      </c>
      <c r="B98" s="1" t="s">
        <v>7</v>
      </c>
      <c r="C98" s="1" t="s">
        <v>48</v>
      </c>
      <c r="D98" s="1" t="s">
        <v>8</v>
      </c>
      <c r="E98" s="1" t="s">
        <v>49</v>
      </c>
      <c r="F98" s="1" t="s">
        <v>50</v>
      </c>
      <c r="G98" s="1" t="s">
        <v>15</v>
      </c>
    </row>
    <row r="100" customFormat="false" ht="14.65" hidden="false" customHeight="false" outlineLevel="0" collapsed="false">
      <c r="A100" s="1" t="s">
        <v>12</v>
      </c>
      <c r="B100" s="1" t="s">
        <v>13</v>
      </c>
      <c r="C100" s="1" t="n">
        <v>259.7991</v>
      </c>
      <c r="D100" s="1" t="n">
        <v>271.2033</v>
      </c>
      <c r="E100" s="1" t="n">
        <v>8159</v>
      </c>
    </row>
    <row r="102" customFormat="false" ht="14.65" hidden="false" customHeight="false" outlineLevel="0" collapsed="false">
      <c r="A102" s="1" t="s">
        <v>74</v>
      </c>
      <c r="B102" s="1" t="n">
        <v>1</v>
      </c>
      <c r="C102" s="1" t="n">
        <v>301.9073</v>
      </c>
      <c r="D102" s="1" t="n">
        <v>280.6311</v>
      </c>
      <c r="E102" s="1" t="n">
        <v>4089</v>
      </c>
      <c r="F102" s="1" t="n">
        <v>7.91895746932258</v>
      </c>
    </row>
    <row r="103" customFormat="false" ht="14.65" hidden="false" customHeight="false" outlineLevel="0" collapsed="false">
      <c r="A103" s="1" t="s">
        <v>74</v>
      </c>
      <c r="B103" s="1" t="n">
        <v>2</v>
      </c>
      <c r="C103" s="1" t="n">
        <v>217.4943</v>
      </c>
      <c r="D103" s="1" t="n">
        <v>254.5005</v>
      </c>
      <c r="E103" s="1" t="n">
        <v>4070</v>
      </c>
      <c r="F103" s="1" t="n">
        <v>-8.47302320217397</v>
      </c>
    </row>
    <row r="105" customFormat="false" ht="14.65" hidden="false" customHeight="false" outlineLevel="0" collapsed="false">
      <c r="B105" s="1" t="s">
        <v>14</v>
      </c>
      <c r="C105" s="1" t="s">
        <v>15</v>
      </c>
      <c r="D105" s="1" t="s">
        <v>16</v>
      </c>
      <c r="E105" s="1" t="n">
        <v>8159</v>
      </c>
    </row>
    <row r="106" customFormat="false" ht="14.65" hidden="false" customHeight="false" outlineLevel="0" collapsed="false">
      <c r="A106" s="1" t="s">
        <v>17</v>
      </c>
    </row>
    <row r="107" customFormat="false" ht="14.65" hidden="false" customHeight="false" outlineLevel="0" collapsed="false">
      <c r="A107" s="1" t="s">
        <v>18</v>
      </c>
      <c r="B107" s="1" t="n">
        <v>22</v>
      </c>
      <c r="C107" s="1" t="s">
        <v>19</v>
      </c>
      <c r="D107" s="2" t="n">
        <v>33957</v>
      </c>
    </row>
    <row r="109" customFormat="false" ht="14.65" hidden="false" customHeight="false" outlineLevel="0" collapsed="false">
      <c r="A109" s="1" t="s">
        <v>0</v>
      </c>
      <c r="B109" s="1" t="s">
        <v>1</v>
      </c>
      <c r="C109" s="1" t="s">
        <v>21</v>
      </c>
    </row>
    <row r="110" customFormat="false" ht="14.65" hidden="false" customHeight="false" outlineLevel="0" collapsed="false">
      <c r="A110" s="1" t="s">
        <v>3</v>
      </c>
      <c r="B110" s="1" t="s">
        <v>4</v>
      </c>
      <c r="C110" s="1" t="s">
        <v>1</v>
      </c>
      <c r="D110" s="1" t="s">
        <v>74</v>
      </c>
    </row>
    <row r="112" customFormat="false" ht="14.65" hidden="false" customHeight="false" outlineLevel="0" collapsed="false">
      <c r="A112" s="1" t="s">
        <v>6</v>
      </c>
      <c r="B112" s="1" t="s">
        <v>7</v>
      </c>
      <c r="C112" s="1" t="s">
        <v>48</v>
      </c>
      <c r="D112" s="1" t="s">
        <v>8</v>
      </c>
      <c r="E112" s="1" t="s">
        <v>49</v>
      </c>
      <c r="F112" s="1" t="s">
        <v>50</v>
      </c>
      <c r="G112" s="1" t="s">
        <v>15</v>
      </c>
    </row>
    <row r="114" customFormat="false" ht="14.65" hidden="false" customHeight="false" outlineLevel="0" collapsed="false">
      <c r="A114" s="1" t="s">
        <v>12</v>
      </c>
      <c r="B114" s="1" t="s">
        <v>13</v>
      </c>
      <c r="C114" s="1" t="n">
        <v>21.291</v>
      </c>
      <c r="D114" s="1" t="n">
        <v>56.2797</v>
      </c>
      <c r="E114" s="1" t="n">
        <v>8159</v>
      </c>
    </row>
    <row r="116" customFormat="false" ht="14.65" hidden="false" customHeight="false" outlineLevel="0" collapsed="false">
      <c r="A116" s="1" t="s">
        <v>74</v>
      </c>
      <c r="B116" s="1" t="n">
        <v>1</v>
      </c>
      <c r="C116" s="1" t="n">
        <v>14.4793</v>
      </c>
      <c r="D116" s="1" t="n">
        <v>45.7463</v>
      </c>
      <c r="E116" s="1" t="n">
        <v>4089</v>
      </c>
      <c r="F116" s="1" t="n">
        <v>-7.18014832126349</v>
      </c>
    </row>
    <row r="117" customFormat="false" ht="14.65" hidden="false" customHeight="false" outlineLevel="0" collapsed="false">
      <c r="A117" s="1" t="s">
        <v>74</v>
      </c>
      <c r="B117" s="1" t="n">
        <v>2</v>
      </c>
      <c r="C117" s="1" t="n">
        <v>28.1344</v>
      </c>
      <c r="D117" s="1" t="n">
        <v>64.4548</v>
      </c>
      <c r="E117" s="1" t="n">
        <v>4070</v>
      </c>
      <c r="F117" s="1" t="n">
        <v>5.765324964764</v>
      </c>
    </row>
    <row r="119" customFormat="false" ht="14.65" hidden="false" customHeight="false" outlineLevel="0" collapsed="false">
      <c r="B119" s="1" t="s">
        <v>14</v>
      </c>
      <c r="C119" s="1" t="s">
        <v>15</v>
      </c>
      <c r="D119" s="1" t="s">
        <v>16</v>
      </c>
      <c r="E119" s="1" t="n">
        <v>8159</v>
      </c>
    </row>
    <row r="120" customFormat="false" ht="14.65" hidden="false" customHeight="false" outlineLevel="0" collapsed="false">
      <c r="A120" s="1" t="s">
        <v>17</v>
      </c>
    </row>
    <row r="121" customFormat="false" ht="14.65" hidden="false" customHeight="false" outlineLevel="0" collapsed="false">
      <c r="A121" s="1" t="s">
        <v>18</v>
      </c>
      <c r="B121" s="1" t="n">
        <v>23</v>
      </c>
      <c r="C121" s="1" t="s">
        <v>19</v>
      </c>
      <c r="D121" s="2" t="n">
        <v>33957</v>
      </c>
    </row>
    <row r="123" customFormat="false" ht="14.65" hidden="false" customHeight="false" outlineLevel="0" collapsed="false">
      <c r="A123" s="1" t="s">
        <v>0</v>
      </c>
      <c r="B123" s="1" t="s">
        <v>1</v>
      </c>
      <c r="C123" s="1" t="s">
        <v>22</v>
      </c>
    </row>
    <row r="124" customFormat="false" ht="14.65" hidden="false" customHeight="false" outlineLevel="0" collapsed="false">
      <c r="A124" s="1" t="s">
        <v>3</v>
      </c>
      <c r="B124" s="1" t="s">
        <v>4</v>
      </c>
      <c r="C124" s="1" t="s">
        <v>1</v>
      </c>
      <c r="D124" s="1" t="s">
        <v>74</v>
      </c>
    </row>
    <row r="126" customFormat="false" ht="14.65" hidden="false" customHeight="false" outlineLevel="0" collapsed="false">
      <c r="A126" s="1" t="s">
        <v>6</v>
      </c>
      <c r="B126" s="1" t="s">
        <v>7</v>
      </c>
      <c r="C126" s="1" t="s">
        <v>48</v>
      </c>
      <c r="D126" s="1" t="s">
        <v>8</v>
      </c>
      <c r="E126" s="1" t="s">
        <v>49</v>
      </c>
      <c r="F126" s="1" t="s">
        <v>50</v>
      </c>
      <c r="G126" s="1" t="s">
        <v>15</v>
      </c>
    </row>
    <row r="128" customFormat="false" ht="14.65" hidden="false" customHeight="false" outlineLevel="0" collapsed="false">
      <c r="A128" s="1" t="s">
        <v>12</v>
      </c>
      <c r="B128" s="1" t="s">
        <v>13</v>
      </c>
      <c r="C128" s="1" t="n">
        <v>109.905</v>
      </c>
      <c r="D128" s="1" t="n">
        <v>158.4693</v>
      </c>
      <c r="E128" s="1" t="n">
        <v>8159</v>
      </c>
    </row>
    <row r="130" customFormat="false" ht="14.65" hidden="false" customHeight="false" outlineLevel="0" collapsed="false">
      <c r="A130" s="1" t="s">
        <v>74</v>
      </c>
      <c r="B130" s="1" t="n">
        <v>1</v>
      </c>
      <c r="C130" s="1" t="n">
        <v>106.5009</v>
      </c>
      <c r="D130" s="1" t="n">
        <v>159.8251</v>
      </c>
      <c r="E130" s="1" t="n">
        <v>4089</v>
      </c>
      <c r="F130" s="1" t="n">
        <v>-1.11475635316264</v>
      </c>
    </row>
    <row r="131" customFormat="false" ht="14.65" hidden="false" customHeight="false" outlineLevel="0" collapsed="false">
      <c r="A131" s="1" t="s">
        <v>74</v>
      </c>
      <c r="B131" s="1" t="n">
        <v>2</v>
      </c>
      <c r="C131" s="1" t="n">
        <v>113.3251</v>
      </c>
      <c r="D131" s="1" t="n">
        <v>157.0408</v>
      </c>
      <c r="E131" s="1" t="n">
        <v>4070</v>
      </c>
      <c r="F131" s="1" t="n">
        <v>1.13143533425505</v>
      </c>
    </row>
    <row r="133" customFormat="false" ht="14.65" hidden="false" customHeight="false" outlineLevel="0" collapsed="false">
      <c r="B133" s="1" t="s">
        <v>14</v>
      </c>
      <c r="C133" s="1" t="s">
        <v>15</v>
      </c>
      <c r="D133" s="1" t="s">
        <v>16</v>
      </c>
      <c r="E133" s="1" t="n">
        <v>8159</v>
      </c>
    </row>
    <row r="134" customFormat="false" ht="14.65" hidden="false" customHeight="false" outlineLevel="0" collapsed="false">
      <c r="A134" s="1" t="s">
        <v>17</v>
      </c>
    </row>
    <row r="135" customFormat="false" ht="14.65" hidden="false" customHeight="false" outlineLevel="0" collapsed="false">
      <c r="A135" s="1" t="s">
        <v>18</v>
      </c>
      <c r="B135" s="1" t="n">
        <v>24</v>
      </c>
      <c r="C135" s="1" t="s">
        <v>19</v>
      </c>
      <c r="D135" s="2" t="n">
        <v>33957</v>
      </c>
    </row>
    <row r="137" customFormat="false" ht="14.65" hidden="false" customHeight="false" outlineLevel="0" collapsed="false">
      <c r="A137" s="1" t="s">
        <v>0</v>
      </c>
      <c r="B137" s="1" t="s">
        <v>1</v>
      </c>
      <c r="C137" s="1" t="s">
        <v>23</v>
      </c>
    </row>
    <row r="138" customFormat="false" ht="14.65" hidden="false" customHeight="false" outlineLevel="0" collapsed="false">
      <c r="A138" s="1" t="s">
        <v>3</v>
      </c>
      <c r="B138" s="1" t="s">
        <v>4</v>
      </c>
      <c r="C138" s="1" t="s">
        <v>1</v>
      </c>
      <c r="D138" s="1" t="s">
        <v>74</v>
      </c>
    </row>
    <row r="140" customFormat="false" ht="14.65" hidden="false" customHeight="false" outlineLevel="0" collapsed="false">
      <c r="A140" s="1" t="s">
        <v>6</v>
      </c>
      <c r="B140" s="1" t="s">
        <v>7</v>
      </c>
      <c r="C140" s="1" t="s">
        <v>48</v>
      </c>
      <c r="D140" s="1" t="s">
        <v>8</v>
      </c>
      <c r="E140" s="1" t="s">
        <v>49</v>
      </c>
      <c r="F140" s="1" t="s">
        <v>50</v>
      </c>
      <c r="G140" s="1" t="s">
        <v>15</v>
      </c>
    </row>
    <row r="142" customFormat="false" ht="14.65" hidden="false" customHeight="false" outlineLevel="0" collapsed="false">
      <c r="A142" s="1" t="s">
        <v>12</v>
      </c>
      <c r="B142" s="1" t="s">
        <v>13</v>
      </c>
      <c r="C142" s="1" t="n">
        <v>64.8264</v>
      </c>
      <c r="D142" s="1" t="n">
        <v>62.2463</v>
      </c>
      <c r="E142" s="1" t="n">
        <v>8159</v>
      </c>
    </row>
    <row r="144" customFormat="false" ht="14.65" hidden="false" customHeight="false" outlineLevel="0" collapsed="false">
      <c r="A144" s="1" t="s">
        <v>74</v>
      </c>
      <c r="B144" s="1" t="n">
        <v>1</v>
      </c>
      <c r="C144" s="1" t="n">
        <v>67.9244</v>
      </c>
      <c r="D144" s="1" t="n">
        <v>65.1757</v>
      </c>
      <c r="E144" s="1" t="n">
        <v>4089</v>
      </c>
      <c r="F144" s="1" t="n">
        <v>2.5179999774192</v>
      </c>
    </row>
    <row r="145" customFormat="false" ht="14.65" hidden="false" customHeight="false" outlineLevel="0" collapsed="false">
      <c r="A145" s="1" t="s">
        <v>74</v>
      </c>
      <c r="B145" s="1" t="n">
        <v>2</v>
      </c>
      <c r="C145" s="1" t="n">
        <v>61.714</v>
      </c>
      <c r="D145" s="1" t="n">
        <v>59.0018</v>
      </c>
      <c r="E145" s="1" t="n">
        <v>4070</v>
      </c>
      <c r="F145" s="1" t="n">
        <v>-2.69856826596677</v>
      </c>
    </row>
    <row r="147" customFormat="false" ht="14.65" hidden="false" customHeight="false" outlineLevel="0" collapsed="false">
      <c r="B147" s="1" t="s">
        <v>14</v>
      </c>
      <c r="C147" s="1" t="s">
        <v>15</v>
      </c>
      <c r="D147" s="1" t="s">
        <v>16</v>
      </c>
      <c r="E147" s="1" t="n">
        <v>8159</v>
      </c>
    </row>
    <row r="151" customFormat="false" ht="14.65" hidden="false" customHeight="false" outlineLevel="0" collapsed="false">
      <c r="B151" s="4"/>
      <c r="C151" s="4" t="s">
        <v>75</v>
      </c>
      <c r="D151" s="4"/>
      <c r="E151" s="4" t="s">
        <v>76</v>
      </c>
      <c r="F151" s="4"/>
      <c r="G151" s="4" t="s">
        <v>77</v>
      </c>
      <c r="H151" s="4"/>
      <c r="I151" s="4" t="s">
        <v>78</v>
      </c>
      <c r="J151" s="4"/>
      <c r="K151" s="4" t="s">
        <v>79</v>
      </c>
      <c r="L151" s="4"/>
      <c r="M151" s="4" t="s">
        <v>10</v>
      </c>
    </row>
    <row r="152" customFormat="false" ht="14.65" hidden="false" customHeight="false" outlineLevel="0" collapsed="false">
      <c r="B152" s="5"/>
      <c r="C152" s="5" t="s">
        <v>8</v>
      </c>
      <c r="D152" s="5" t="s">
        <v>80</v>
      </c>
      <c r="E152" s="5" t="s">
        <v>8</v>
      </c>
      <c r="F152" s="5" t="s">
        <v>80</v>
      </c>
      <c r="G152" s="5" t="s">
        <v>8</v>
      </c>
      <c r="H152" s="5" t="s">
        <v>80</v>
      </c>
      <c r="I152" s="5" t="s">
        <v>8</v>
      </c>
      <c r="J152" s="5" t="s">
        <v>80</v>
      </c>
      <c r="K152" s="5" t="s">
        <v>8</v>
      </c>
      <c r="L152" s="5" t="s">
        <v>80</v>
      </c>
      <c r="M152" s="5"/>
    </row>
    <row r="153" customFormat="false" ht="14.65" hidden="false" customHeight="false" outlineLevel="0" collapsed="false">
      <c r="B153" s="6" t="s">
        <v>81</v>
      </c>
      <c r="C153" s="7" t="n">
        <v>949.1881</v>
      </c>
      <c r="D153" s="7" t="n">
        <v>261.0453</v>
      </c>
      <c r="E153" s="7" t="n">
        <v>301.9073</v>
      </c>
      <c r="F153" s="7" t="n">
        <v>280.6311</v>
      </c>
      <c r="G153" s="7" t="n">
        <v>14.4793</v>
      </c>
      <c r="H153" s="7" t="n">
        <v>45.7463</v>
      </c>
      <c r="I153" s="7" t="n">
        <v>106.5009</v>
      </c>
      <c r="J153" s="7" t="n">
        <v>159.8251</v>
      </c>
      <c r="K153" s="7" t="n">
        <v>67.9244</v>
      </c>
      <c r="L153" s="7" t="n">
        <v>65.1757</v>
      </c>
      <c r="M153" s="6" t="n">
        <v>4089</v>
      </c>
    </row>
    <row r="154" customFormat="false" ht="14.65" hidden="false" customHeight="false" outlineLevel="0" collapsed="false">
      <c r="B154" s="8" t="s">
        <v>82</v>
      </c>
      <c r="C154" s="9" t="n">
        <v>1019.3322</v>
      </c>
      <c r="D154" s="9" t="n">
        <v>248.8737</v>
      </c>
      <c r="E154" s="9" t="n">
        <v>217.4943</v>
      </c>
      <c r="F154" s="9" t="n">
        <v>254.5005</v>
      </c>
      <c r="G154" s="9" t="n">
        <v>28.1344</v>
      </c>
      <c r="H154" s="9" t="n">
        <v>64.4548</v>
      </c>
      <c r="I154" s="9" t="n">
        <v>113.3251</v>
      </c>
      <c r="J154" s="9" t="n">
        <v>157.0408</v>
      </c>
      <c r="K154" s="9" t="n">
        <v>61.714</v>
      </c>
      <c r="L154" s="9" t="n">
        <v>59.0018</v>
      </c>
      <c r="M154" s="8" t="n">
        <v>4070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A1" activeCellId="0" sqref="A1:IV91 A1:IV91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65" hidden="false" customHeight="false" outlineLevel="0" collapsed="false">
      <c r="A2" s="1" t="s">
        <v>3</v>
      </c>
      <c r="B2" s="1" t="s">
        <v>4</v>
      </c>
      <c r="C2" s="1" t="s">
        <v>1</v>
      </c>
      <c r="D2" s="1" t="s">
        <v>83</v>
      </c>
    </row>
    <row r="4" customFormat="false" ht="14.65" hidden="false" customHeight="false" outlineLevel="0" collapsed="false">
      <c r="A4" s="1" t="s">
        <v>6</v>
      </c>
      <c r="B4" s="1" t="s">
        <v>7</v>
      </c>
      <c r="C4" s="1" t="s">
        <v>48</v>
      </c>
      <c r="D4" s="1" t="s">
        <v>8</v>
      </c>
      <c r="E4" s="1" t="s">
        <v>49</v>
      </c>
      <c r="F4" s="1" t="s">
        <v>50</v>
      </c>
      <c r="G4" s="1" t="s">
        <v>15</v>
      </c>
    </row>
    <row r="6" customFormat="false" ht="14.65" hidden="false" customHeight="false" outlineLevel="0" collapsed="false">
      <c r="A6" s="1" t="s">
        <v>12</v>
      </c>
      <c r="B6" s="1" t="s">
        <v>13</v>
      </c>
      <c r="C6" s="1" t="s">
        <v>84</v>
      </c>
      <c r="D6" s="1" t="n">
        <v>984.1785</v>
      </c>
      <c r="E6" s="1" t="n">
        <v>257.4312</v>
      </c>
      <c r="F6" s="1" t="n">
        <v>8159</v>
      </c>
    </row>
    <row r="8" customFormat="false" ht="14.65" hidden="false" customHeight="false" outlineLevel="0" collapsed="false">
      <c r="A8" s="1" t="s">
        <v>83</v>
      </c>
      <c r="B8" s="1" t="n">
        <v>1</v>
      </c>
      <c r="C8" s="1" t="n">
        <v>980.1365</v>
      </c>
      <c r="D8" s="1" t="n">
        <v>258.1511</v>
      </c>
      <c r="E8" s="1" t="n">
        <v>6784</v>
      </c>
    </row>
    <row r="9" customFormat="false" ht="14.65" hidden="false" customHeight="false" outlineLevel="0" collapsed="false">
      <c r="A9" s="1" t="s">
        <v>83</v>
      </c>
      <c r="B9" s="1" t="n">
        <v>2</v>
      </c>
      <c r="C9" s="1" t="n">
        <v>1000.1846</v>
      </c>
      <c r="D9" s="1" t="n">
        <v>254.9684</v>
      </c>
      <c r="E9" s="1" t="n">
        <v>742</v>
      </c>
    </row>
    <row r="10" customFormat="false" ht="14.65" hidden="false" customHeight="false" outlineLevel="0" collapsed="false">
      <c r="A10" s="1" t="s">
        <v>83</v>
      </c>
      <c r="B10" s="1" t="n">
        <v>3</v>
      </c>
      <c r="C10" s="1" t="n">
        <v>1007.1197</v>
      </c>
      <c r="D10" s="1" t="n">
        <v>251.5037</v>
      </c>
      <c r="E10" s="1" t="n">
        <v>610</v>
      </c>
    </row>
    <row r="11" customFormat="false" ht="14.65" hidden="false" customHeight="false" outlineLevel="0" collapsed="false">
      <c r="A11" s="1" t="s">
        <v>83</v>
      </c>
      <c r="B11" s="1" t="n">
        <v>98</v>
      </c>
      <c r="C11" s="1" t="n">
        <v>1134.2857</v>
      </c>
      <c r="D11" s="1" t="n">
        <v>153.0095</v>
      </c>
      <c r="E11" s="1" t="n">
        <v>7</v>
      </c>
    </row>
    <row r="12" customFormat="false" ht="14.65" hidden="false" customHeight="false" outlineLevel="0" collapsed="false">
      <c r="A12" s="1" t="s">
        <v>83</v>
      </c>
      <c r="B12" s="1" t="n">
        <v>99</v>
      </c>
      <c r="C12" s="1" t="n">
        <v>1015.375</v>
      </c>
      <c r="D12" s="1" t="n">
        <v>255.0686</v>
      </c>
      <c r="E12" s="1" t="n">
        <v>16</v>
      </c>
    </row>
    <row r="14" customFormat="false" ht="14.65" hidden="false" customHeight="false" outlineLevel="0" collapsed="false">
      <c r="B14" s="1" t="s">
        <v>14</v>
      </c>
      <c r="C14" s="1" t="s">
        <v>15</v>
      </c>
      <c r="D14" s="1" t="s">
        <v>16</v>
      </c>
      <c r="E14" s="1" t="n">
        <v>8159</v>
      </c>
    </row>
    <row r="15" customFormat="false" ht="14.65" hidden="false" customHeight="false" outlineLevel="0" collapsed="false">
      <c r="A15" s="1" t="s">
        <v>17</v>
      </c>
    </row>
    <row r="16" customFormat="false" ht="14.65" hidden="false" customHeight="false" outlineLevel="0" collapsed="false">
      <c r="A16" s="1" t="s">
        <v>18</v>
      </c>
      <c r="B16" s="1" t="n">
        <v>27</v>
      </c>
      <c r="C16" s="1" t="s">
        <v>19</v>
      </c>
      <c r="D16" s="2" t="n">
        <v>33957</v>
      </c>
    </row>
    <row r="18" customFormat="false" ht="14.65" hidden="false" customHeight="false" outlineLevel="0" collapsed="false">
      <c r="A18" s="1" t="s">
        <v>0</v>
      </c>
      <c r="B18" s="1" t="s">
        <v>1</v>
      </c>
      <c r="C18" s="1" t="s">
        <v>20</v>
      </c>
    </row>
    <row r="19" customFormat="false" ht="14.65" hidden="false" customHeight="false" outlineLevel="0" collapsed="false">
      <c r="A19" s="1" t="s">
        <v>3</v>
      </c>
      <c r="B19" s="1" t="s">
        <v>4</v>
      </c>
      <c r="C19" s="1" t="s">
        <v>1</v>
      </c>
      <c r="D19" s="1" t="s">
        <v>83</v>
      </c>
    </row>
    <row r="21" customFormat="false" ht="14.65" hidden="false" customHeight="false" outlineLevel="0" collapsed="false">
      <c r="A21" s="1" t="s">
        <v>6</v>
      </c>
      <c r="B21" s="1" t="s">
        <v>7</v>
      </c>
      <c r="C21" s="1" t="s">
        <v>48</v>
      </c>
      <c r="D21" s="1" t="s">
        <v>8</v>
      </c>
      <c r="E21" s="1" t="s">
        <v>49</v>
      </c>
      <c r="F21" s="1" t="s">
        <v>50</v>
      </c>
      <c r="G21" s="1" t="s">
        <v>15</v>
      </c>
    </row>
    <row r="23" customFormat="false" ht="14.65" hidden="false" customHeight="false" outlineLevel="0" collapsed="false">
      <c r="A23" s="1" t="s">
        <v>12</v>
      </c>
      <c r="B23" s="1" t="s">
        <v>13</v>
      </c>
      <c r="C23" s="1" t="s">
        <v>84</v>
      </c>
      <c r="D23" s="1" t="n">
        <v>259.7991</v>
      </c>
      <c r="E23" s="1" t="n">
        <v>271.2033</v>
      </c>
      <c r="F23" s="1" t="n">
        <v>8159</v>
      </c>
    </row>
    <row r="25" customFormat="false" ht="14.65" hidden="false" customHeight="false" outlineLevel="0" collapsed="false">
      <c r="A25" s="1" t="s">
        <v>83</v>
      </c>
      <c r="B25" s="1" t="n">
        <v>1</v>
      </c>
      <c r="C25" s="1" t="n">
        <v>261.3309</v>
      </c>
      <c r="D25" s="1" t="n">
        <v>270.1518</v>
      </c>
      <c r="E25" s="1" t="n">
        <v>6784</v>
      </c>
    </row>
    <row r="26" customFormat="false" ht="14.65" hidden="false" customHeight="false" outlineLevel="0" collapsed="false">
      <c r="A26" s="1" t="s">
        <v>83</v>
      </c>
      <c r="B26" s="1" t="n">
        <v>2</v>
      </c>
      <c r="C26" s="1" t="n">
        <v>246.8962</v>
      </c>
      <c r="D26" s="1" t="n">
        <v>274.3311</v>
      </c>
      <c r="E26" s="1" t="n">
        <v>742</v>
      </c>
    </row>
    <row r="27" customFormat="false" ht="14.65" hidden="false" customHeight="false" outlineLevel="0" collapsed="false">
      <c r="A27" s="1" t="s">
        <v>83</v>
      </c>
      <c r="B27" s="1" t="n">
        <v>3</v>
      </c>
      <c r="C27" s="1" t="n">
        <v>259.4475</v>
      </c>
      <c r="D27" s="1" t="n">
        <v>278.6401</v>
      </c>
      <c r="E27" s="1" t="n">
        <v>610</v>
      </c>
    </row>
    <row r="28" customFormat="false" ht="14.65" hidden="false" customHeight="false" outlineLevel="0" collapsed="false">
      <c r="A28" s="1" t="s">
        <v>83</v>
      </c>
      <c r="B28" s="1" t="n">
        <v>98</v>
      </c>
      <c r="C28" s="1" t="n">
        <v>123.5714</v>
      </c>
      <c r="D28" s="1" t="n">
        <v>210.6481</v>
      </c>
      <c r="E28" s="1" t="n">
        <v>7</v>
      </c>
    </row>
    <row r="29" customFormat="false" ht="14.65" hidden="false" customHeight="false" outlineLevel="0" collapsed="false">
      <c r="A29" s="1" t="s">
        <v>83</v>
      </c>
      <c r="B29" s="1" t="n">
        <v>99</v>
      </c>
      <c r="C29" s="1" t="n">
        <v>281.6875</v>
      </c>
      <c r="D29" s="1" t="n">
        <v>305.7113</v>
      </c>
      <c r="E29" s="1" t="n">
        <v>16</v>
      </c>
    </row>
    <row r="31" customFormat="false" ht="14.65" hidden="false" customHeight="false" outlineLevel="0" collapsed="false">
      <c r="B31" s="1" t="s">
        <v>14</v>
      </c>
      <c r="C31" s="1" t="s">
        <v>15</v>
      </c>
      <c r="D31" s="1" t="s">
        <v>16</v>
      </c>
      <c r="E31" s="1" t="n">
        <v>8159</v>
      </c>
    </row>
    <row r="32" customFormat="false" ht="14.65" hidden="false" customHeight="false" outlineLevel="0" collapsed="false">
      <c r="A32" s="1" t="s">
        <v>17</v>
      </c>
    </row>
    <row r="33" customFormat="false" ht="14.65" hidden="false" customHeight="false" outlineLevel="0" collapsed="false">
      <c r="A33" s="1" t="s">
        <v>18</v>
      </c>
      <c r="B33" s="1" t="n">
        <v>28</v>
      </c>
      <c r="C33" s="1" t="s">
        <v>19</v>
      </c>
      <c r="D33" s="2" t="n">
        <v>33957</v>
      </c>
    </row>
    <row r="35" customFormat="false" ht="14.65" hidden="false" customHeight="false" outlineLevel="0" collapsed="false">
      <c r="A35" s="1" t="s">
        <v>0</v>
      </c>
      <c r="B35" s="1" t="s">
        <v>1</v>
      </c>
      <c r="C35" s="1" t="s">
        <v>21</v>
      </c>
    </row>
    <row r="36" customFormat="false" ht="14.65" hidden="false" customHeight="false" outlineLevel="0" collapsed="false">
      <c r="A36" s="1" t="s">
        <v>3</v>
      </c>
      <c r="B36" s="1" t="s">
        <v>4</v>
      </c>
      <c r="C36" s="1" t="s">
        <v>1</v>
      </c>
      <c r="D36" s="1" t="s">
        <v>83</v>
      </c>
    </row>
    <row r="38" customFormat="false" ht="14.65" hidden="false" customHeight="false" outlineLevel="0" collapsed="false">
      <c r="A38" s="1" t="s">
        <v>6</v>
      </c>
      <c r="B38" s="1" t="s">
        <v>7</v>
      </c>
      <c r="C38" s="1" t="s">
        <v>48</v>
      </c>
      <c r="D38" s="1" t="s">
        <v>8</v>
      </c>
      <c r="E38" s="1" t="s">
        <v>49</v>
      </c>
      <c r="F38" s="1" t="s">
        <v>50</v>
      </c>
      <c r="G38" s="1" t="s">
        <v>15</v>
      </c>
    </row>
    <row r="40" customFormat="false" ht="14.65" hidden="false" customHeight="false" outlineLevel="0" collapsed="false">
      <c r="A40" s="1" t="s">
        <v>12</v>
      </c>
      <c r="B40" s="1" t="s">
        <v>13</v>
      </c>
      <c r="C40" s="1" t="s">
        <v>84</v>
      </c>
      <c r="D40" s="1" t="n">
        <v>21.291</v>
      </c>
      <c r="E40" s="1" t="n">
        <v>56.2797</v>
      </c>
      <c r="F40" s="1" t="n">
        <v>8159</v>
      </c>
    </row>
    <row r="42" customFormat="false" ht="14.65" hidden="false" customHeight="false" outlineLevel="0" collapsed="false">
      <c r="A42" s="1" t="s">
        <v>83</v>
      </c>
      <c r="B42" s="1" t="n">
        <v>1</v>
      </c>
      <c r="C42" s="1" t="n">
        <v>20.6666</v>
      </c>
      <c r="D42" s="1" t="n">
        <v>55.3973</v>
      </c>
      <c r="E42" s="1" t="n">
        <v>6784</v>
      </c>
    </row>
    <row r="43" customFormat="false" ht="14.65" hidden="false" customHeight="false" outlineLevel="0" collapsed="false">
      <c r="A43" s="1" t="s">
        <v>83</v>
      </c>
      <c r="B43" s="1" t="n">
        <v>2</v>
      </c>
      <c r="C43" s="1" t="n">
        <v>22.8935</v>
      </c>
      <c r="D43" s="1" t="n">
        <v>63.1892</v>
      </c>
      <c r="E43" s="1" t="n">
        <v>742</v>
      </c>
    </row>
    <row r="44" customFormat="false" ht="14.65" hidden="false" customHeight="false" outlineLevel="0" collapsed="false">
      <c r="A44" s="1" t="s">
        <v>83</v>
      </c>
      <c r="B44" s="1" t="n">
        <v>3</v>
      </c>
      <c r="C44" s="1" t="n">
        <v>25.3279</v>
      </c>
      <c r="D44" s="1" t="n">
        <v>55.4281</v>
      </c>
      <c r="E44" s="1" t="n">
        <v>610</v>
      </c>
    </row>
    <row r="45" customFormat="false" ht="14.65" hidden="false" customHeight="false" outlineLevel="0" collapsed="false">
      <c r="A45" s="1" t="s">
        <v>83</v>
      </c>
      <c r="B45" s="1" t="n">
        <v>98</v>
      </c>
      <c r="C45" s="1" t="n">
        <v>73.1429</v>
      </c>
      <c r="D45" s="1" t="n">
        <v>102.5775</v>
      </c>
      <c r="E45" s="1" t="n">
        <v>7</v>
      </c>
    </row>
    <row r="46" customFormat="false" ht="14.65" hidden="false" customHeight="false" outlineLevel="0" collapsed="false">
      <c r="A46" s="1" t="s">
        <v>83</v>
      </c>
      <c r="B46" s="1" t="n">
        <v>99</v>
      </c>
      <c r="C46" s="1" t="n">
        <v>35.125</v>
      </c>
      <c r="D46" s="1" t="n">
        <v>79.3195</v>
      </c>
      <c r="E46" s="1" t="n">
        <v>16</v>
      </c>
    </row>
    <row r="48" customFormat="false" ht="14.65" hidden="false" customHeight="false" outlineLevel="0" collapsed="false">
      <c r="B48" s="1" t="s">
        <v>14</v>
      </c>
      <c r="C48" s="1" t="s">
        <v>15</v>
      </c>
      <c r="D48" s="1" t="s">
        <v>16</v>
      </c>
      <c r="E48" s="1" t="n">
        <v>8159</v>
      </c>
    </row>
    <row r="49" customFormat="false" ht="14.65" hidden="false" customHeight="false" outlineLevel="0" collapsed="false">
      <c r="A49" s="1" t="s">
        <v>17</v>
      </c>
    </row>
    <row r="50" customFormat="false" ht="14.65" hidden="false" customHeight="false" outlineLevel="0" collapsed="false">
      <c r="A50" s="1" t="s">
        <v>18</v>
      </c>
      <c r="B50" s="1" t="n">
        <v>29</v>
      </c>
      <c r="C50" s="1" t="s">
        <v>19</v>
      </c>
      <c r="D50" s="2" t="n">
        <v>33957</v>
      </c>
    </row>
    <row r="52" customFormat="false" ht="14.65" hidden="false" customHeight="false" outlineLevel="0" collapsed="false">
      <c r="A52" s="1" t="s">
        <v>0</v>
      </c>
      <c r="B52" s="1" t="s">
        <v>1</v>
      </c>
      <c r="C52" s="1" t="s">
        <v>22</v>
      </c>
    </row>
    <row r="53" customFormat="false" ht="14.65" hidden="false" customHeight="false" outlineLevel="0" collapsed="false">
      <c r="A53" s="1" t="s">
        <v>3</v>
      </c>
      <c r="B53" s="1" t="s">
        <v>4</v>
      </c>
      <c r="C53" s="1" t="s">
        <v>1</v>
      </c>
      <c r="D53" s="1" t="s">
        <v>83</v>
      </c>
    </row>
    <row r="55" customFormat="false" ht="14.65" hidden="false" customHeight="false" outlineLevel="0" collapsed="false">
      <c r="A55" s="1" t="s">
        <v>6</v>
      </c>
      <c r="B55" s="1" t="s">
        <v>7</v>
      </c>
      <c r="C55" s="1" t="s">
        <v>48</v>
      </c>
      <c r="D55" s="1" t="s">
        <v>8</v>
      </c>
      <c r="E55" s="1" t="s">
        <v>49</v>
      </c>
      <c r="F55" s="1" t="s">
        <v>50</v>
      </c>
      <c r="G55" s="1" t="s">
        <v>15</v>
      </c>
    </row>
    <row r="57" customFormat="false" ht="14.65" hidden="false" customHeight="false" outlineLevel="0" collapsed="false">
      <c r="A57" s="1" t="s">
        <v>12</v>
      </c>
      <c r="B57" s="1" t="s">
        <v>13</v>
      </c>
      <c r="C57" s="1" t="s">
        <v>84</v>
      </c>
      <c r="D57" s="1" t="n">
        <v>109.905</v>
      </c>
      <c r="E57" s="1" t="n">
        <v>158.4693</v>
      </c>
      <c r="F57" s="1" t="n">
        <v>8159</v>
      </c>
    </row>
    <row r="59" customFormat="false" ht="14.65" hidden="false" customHeight="false" outlineLevel="0" collapsed="false">
      <c r="A59" s="1" t="s">
        <v>83</v>
      </c>
      <c r="B59" s="1" t="n">
        <v>1</v>
      </c>
      <c r="C59" s="1" t="n">
        <v>111.9176</v>
      </c>
      <c r="D59" s="1" t="n">
        <v>159.1752</v>
      </c>
      <c r="E59" s="1" t="n">
        <v>6784</v>
      </c>
    </row>
    <row r="60" customFormat="false" ht="14.65" hidden="false" customHeight="false" outlineLevel="0" collapsed="false">
      <c r="A60" s="1" t="s">
        <v>83</v>
      </c>
      <c r="B60" s="1" t="n">
        <v>2</v>
      </c>
      <c r="C60" s="1" t="n">
        <v>109.2695</v>
      </c>
      <c r="D60" s="1" t="n">
        <v>163.2855</v>
      </c>
      <c r="E60" s="1" t="n">
        <v>742</v>
      </c>
    </row>
    <row r="61" customFormat="false" ht="14.65" hidden="false" customHeight="false" outlineLevel="0" collapsed="false">
      <c r="A61" s="1" t="s">
        <v>83</v>
      </c>
      <c r="B61" s="1" t="n">
        <v>3</v>
      </c>
      <c r="C61" s="1" t="n">
        <v>90.7525</v>
      </c>
      <c r="D61" s="1" t="n">
        <v>144.9655</v>
      </c>
      <c r="E61" s="1" t="n">
        <v>610</v>
      </c>
    </row>
    <row r="62" customFormat="false" ht="14.65" hidden="false" customHeight="false" outlineLevel="0" collapsed="false">
      <c r="A62" s="1" t="s">
        <v>83</v>
      </c>
      <c r="B62" s="1" t="n">
        <v>98</v>
      </c>
      <c r="C62" s="1" t="n">
        <v>52.7143</v>
      </c>
      <c r="D62" s="1" t="n">
        <v>66.8349</v>
      </c>
      <c r="E62" s="1" t="n">
        <v>7</v>
      </c>
    </row>
    <row r="63" customFormat="false" ht="14.65" hidden="false" customHeight="false" outlineLevel="0" collapsed="false">
      <c r="A63" s="1" t="s">
        <v>83</v>
      </c>
      <c r="B63" s="1" t="n">
        <v>99</v>
      </c>
      <c r="C63" s="1" t="n">
        <v>41.25</v>
      </c>
      <c r="D63" s="1" t="n">
        <v>71.7742</v>
      </c>
      <c r="E63" s="1" t="n">
        <v>16</v>
      </c>
    </row>
    <row r="65" customFormat="false" ht="14.65" hidden="false" customHeight="false" outlineLevel="0" collapsed="false">
      <c r="B65" s="1" t="s">
        <v>14</v>
      </c>
      <c r="C65" s="1" t="s">
        <v>15</v>
      </c>
      <c r="D65" s="1" t="s">
        <v>16</v>
      </c>
      <c r="E65" s="1" t="n">
        <v>8159</v>
      </c>
    </row>
    <row r="66" customFormat="false" ht="14.65" hidden="false" customHeight="false" outlineLevel="0" collapsed="false">
      <c r="A66" s="1" t="s">
        <v>17</v>
      </c>
    </row>
    <row r="67" customFormat="false" ht="14.65" hidden="false" customHeight="false" outlineLevel="0" collapsed="false">
      <c r="A67" s="1" t="s">
        <v>18</v>
      </c>
      <c r="B67" s="1" t="n">
        <v>30</v>
      </c>
      <c r="C67" s="1" t="s">
        <v>19</v>
      </c>
      <c r="D67" s="2" t="n">
        <v>33957</v>
      </c>
    </row>
    <row r="69" customFormat="false" ht="14.65" hidden="false" customHeight="false" outlineLevel="0" collapsed="false">
      <c r="A69" s="1" t="s">
        <v>0</v>
      </c>
      <c r="B69" s="1" t="s">
        <v>1</v>
      </c>
      <c r="C69" s="1" t="s">
        <v>23</v>
      </c>
    </row>
    <row r="70" customFormat="false" ht="14.65" hidden="false" customHeight="false" outlineLevel="0" collapsed="false">
      <c r="A70" s="1" t="s">
        <v>3</v>
      </c>
      <c r="B70" s="1" t="s">
        <v>4</v>
      </c>
      <c r="C70" s="1" t="s">
        <v>1</v>
      </c>
      <c r="D70" s="1" t="s">
        <v>83</v>
      </c>
    </row>
    <row r="72" customFormat="false" ht="14.65" hidden="false" customHeight="false" outlineLevel="0" collapsed="false">
      <c r="A72" s="1" t="s">
        <v>6</v>
      </c>
      <c r="B72" s="1" t="s">
        <v>7</v>
      </c>
      <c r="C72" s="1" t="s">
        <v>48</v>
      </c>
      <c r="D72" s="1" t="s">
        <v>8</v>
      </c>
      <c r="E72" s="1" t="s">
        <v>49</v>
      </c>
      <c r="F72" s="1" t="s">
        <v>50</v>
      </c>
      <c r="G72" s="1" t="s">
        <v>15</v>
      </c>
    </row>
    <row r="74" customFormat="false" ht="14.65" hidden="false" customHeight="false" outlineLevel="0" collapsed="false">
      <c r="A74" s="1" t="s">
        <v>12</v>
      </c>
      <c r="B74" s="1" t="s">
        <v>13</v>
      </c>
      <c r="C74" s="1" t="s">
        <v>84</v>
      </c>
      <c r="D74" s="1" t="n">
        <v>64.8264</v>
      </c>
      <c r="E74" s="1" t="n">
        <v>62.2463</v>
      </c>
      <c r="F74" s="1" t="n">
        <v>8159</v>
      </c>
    </row>
    <row r="76" customFormat="false" ht="14.65" hidden="false" customHeight="false" outlineLevel="0" collapsed="false">
      <c r="A76" s="1" t="s">
        <v>83</v>
      </c>
      <c r="B76" s="1" t="n">
        <v>1</v>
      </c>
      <c r="C76" s="1" t="n">
        <v>65.9484</v>
      </c>
      <c r="D76" s="1" t="n">
        <v>64.3023</v>
      </c>
      <c r="E76" s="1" t="n">
        <v>6784</v>
      </c>
    </row>
    <row r="77" customFormat="false" ht="14.65" hidden="false" customHeight="false" outlineLevel="0" collapsed="false">
      <c r="A77" s="1" t="s">
        <v>83</v>
      </c>
      <c r="B77" s="1" t="n">
        <v>2</v>
      </c>
      <c r="C77" s="1" t="n">
        <v>60.7561</v>
      </c>
      <c r="D77" s="1" t="n">
        <v>51.2383</v>
      </c>
      <c r="E77" s="1" t="n">
        <v>742</v>
      </c>
    </row>
    <row r="78" customFormat="false" ht="14.65" hidden="false" customHeight="false" outlineLevel="0" collapsed="false">
      <c r="A78" s="1" t="s">
        <v>83</v>
      </c>
      <c r="B78" s="1" t="n">
        <v>3</v>
      </c>
      <c r="C78" s="1" t="n">
        <v>57.3525</v>
      </c>
      <c r="D78" s="1" t="n">
        <v>49.9593</v>
      </c>
      <c r="E78" s="1" t="n">
        <v>610</v>
      </c>
    </row>
    <row r="79" customFormat="false" ht="14.65" hidden="false" customHeight="false" outlineLevel="0" collapsed="false">
      <c r="A79" s="1" t="s">
        <v>83</v>
      </c>
      <c r="B79" s="1" t="n">
        <v>98</v>
      </c>
      <c r="C79" s="1" t="n">
        <v>56.2857</v>
      </c>
      <c r="D79" s="1" t="n">
        <v>49.6176</v>
      </c>
      <c r="E79" s="1" t="n">
        <v>7</v>
      </c>
    </row>
    <row r="80" customFormat="false" ht="14.65" hidden="false" customHeight="false" outlineLevel="0" collapsed="false">
      <c r="A80" s="1" t="s">
        <v>83</v>
      </c>
      <c r="B80" s="1" t="n">
        <v>99</v>
      </c>
      <c r="C80" s="1" t="n">
        <v>66.5625</v>
      </c>
      <c r="D80" s="1" t="n">
        <v>42.497</v>
      </c>
      <c r="E80" s="1" t="n">
        <v>16</v>
      </c>
    </row>
    <row r="82" customFormat="false" ht="14.65" hidden="false" customHeight="false" outlineLevel="0" collapsed="false">
      <c r="B82" s="1" t="s">
        <v>14</v>
      </c>
      <c r="C82" s="1" t="s">
        <v>15</v>
      </c>
      <c r="D82" s="1" t="s">
        <v>16</v>
      </c>
      <c r="E82" s="1" t="n">
        <v>8159</v>
      </c>
    </row>
    <row r="83" customFormat="false" ht="14.65" hidden="false" customHeight="false" outlineLevel="0" collapsed="false">
      <c r="A83" s="1" t="s">
        <v>17</v>
      </c>
    </row>
    <row r="84" customFormat="false" ht="14.65" hidden="false" customHeight="false" outlineLevel="0" collapsed="false">
      <c r="A84" s="1" t="s">
        <v>18</v>
      </c>
      <c r="B84" s="1" t="n">
        <v>31</v>
      </c>
      <c r="C84" s="1" t="s">
        <v>19</v>
      </c>
      <c r="D84" s="2" t="n">
        <v>33957</v>
      </c>
    </row>
    <row r="86" customFormat="false" ht="14.65" hidden="false" customHeight="false" outlineLevel="0" collapsed="false">
      <c r="A86" s="1" t="s">
        <v>51</v>
      </c>
      <c r="B86" s="1" t="s">
        <v>52</v>
      </c>
      <c r="C86" s="1" t="s">
        <v>53</v>
      </c>
      <c r="D86" s="1" t="s">
        <v>54</v>
      </c>
      <c r="E86" s="1" t="s">
        <v>55</v>
      </c>
      <c r="F86" s="3" t="n">
        <v>0.457141203703704</v>
      </c>
    </row>
    <row r="88" customFormat="false" ht="14.65" hidden="false" customHeight="false" outlineLevel="0" collapsed="false">
      <c r="A88" s="1" t="s">
        <v>56</v>
      </c>
      <c r="B88" s="1" t="s">
        <v>57</v>
      </c>
      <c r="C88" s="1" t="s">
        <v>58</v>
      </c>
      <c r="D88" s="1" t="s">
        <v>59</v>
      </c>
      <c r="E88" s="1" t="s">
        <v>60</v>
      </c>
      <c r="F88" s="1" t="s">
        <v>61</v>
      </c>
      <c r="G88" s="1" t="s">
        <v>62</v>
      </c>
      <c r="H88" s="1" t="s">
        <v>63</v>
      </c>
      <c r="I88" s="1" t="s">
        <v>85</v>
      </c>
    </row>
    <row r="90" customFormat="false" ht="14.65" hidden="false" customHeight="false" outlineLevel="0" collapsed="false">
      <c r="A90" s="1" t="s">
        <v>65</v>
      </c>
      <c r="B90" s="1" t="s">
        <v>66</v>
      </c>
      <c r="C90" s="1" t="s">
        <v>67</v>
      </c>
      <c r="D90" s="1" t="s">
        <v>68</v>
      </c>
      <c r="E90" s="1" t="s">
        <v>69</v>
      </c>
      <c r="F90" s="1" t="n">
        <v>6858</v>
      </c>
      <c r="G90" s="1" t="s">
        <v>70</v>
      </c>
      <c r="H90" s="1" t="s">
        <v>71</v>
      </c>
      <c r="I90" s="1" t="n">
        <v>1</v>
      </c>
      <c r="J90" s="1" t="s">
        <v>72</v>
      </c>
      <c r="K90" s="1" t="s">
        <v>69</v>
      </c>
      <c r="L90" s="1" t="s">
        <v>73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6" activeCellId="0" sqref="B4:S26 B4:S26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2" style="1" width="13.28"/>
    <col collapsed="false" customWidth="true" hidden="false" outlineLevel="0" max="3" min="3" style="1" width="14.99"/>
    <col collapsed="false" customWidth="true" hidden="false" outlineLevel="0" max="4" min="4" style="1" width="5.56"/>
    <col collapsed="false" customWidth="true" hidden="false" outlineLevel="0" max="5" min="5" style="1" width="7.14"/>
    <col collapsed="false" customWidth="true" hidden="false" outlineLevel="0" max="6" min="6" style="10" width="5.99"/>
    <col collapsed="false" customWidth="true" hidden="false" outlineLevel="0" max="7" min="7" style="1" width="5.85"/>
    <col collapsed="false" customWidth="true" hidden="false" outlineLevel="0" max="8" min="8" style="1" width="7.14"/>
    <col collapsed="false" customWidth="true" hidden="false" outlineLevel="0" max="9" min="9" style="10" width="5.99"/>
    <col collapsed="false" customWidth="true" hidden="false" outlineLevel="0" max="10" min="10" style="1" width="5.28"/>
    <col collapsed="false" customWidth="true" hidden="false" outlineLevel="0" max="11" min="11" style="1" width="7.14"/>
    <col collapsed="false" customWidth="true" hidden="false" outlineLevel="0" max="12" min="12" style="10" width="5.99"/>
    <col collapsed="false" customWidth="true" hidden="false" outlineLevel="0" max="13" min="13" style="1" width="6.28"/>
    <col collapsed="false" customWidth="true" hidden="false" outlineLevel="0" max="14" min="14" style="1" width="7.14"/>
    <col collapsed="false" customWidth="true" hidden="false" outlineLevel="0" max="15" min="15" style="10" width="5.99"/>
    <col collapsed="false" customWidth="true" hidden="false" outlineLevel="0" max="17" min="16" style="1" width="7.14"/>
    <col collapsed="false" customWidth="true" hidden="false" outlineLevel="0" max="18" min="18" style="10" width="5.99"/>
    <col collapsed="false" customWidth="true" hidden="false" outlineLevel="0" max="19" min="19" style="1" width="5.42"/>
  </cols>
  <sheetData>
    <row r="2" customFormat="false" ht="14.65" hidden="false" customHeight="false" outlineLevel="0" collapsed="false">
      <c r="F2" s="1"/>
      <c r="I2" s="1"/>
      <c r="L2" s="1"/>
      <c r="O2" s="1"/>
      <c r="R2" s="1"/>
    </row>
    <row r="3" customFormat="false" ht="14.65" hidden="false" customHeight="false" outlineLevel="0" collapsed="false">
      <c r="F3" s="1"/>
      <c r="I3" s="1"/>
      <c r="L3" s="1"/>
      <c r="O3" s="1"/>
      <c r="R3" s="1"/>
    </row>
    <row r="4" customFormat="false" ht="14.65" hidden="false" customHeight="false" outlineLevel="0" collapsed="false">
      <c r="A4" s="1" t="s">
        <v>84</v>
      </c>
      <c r="B4" s="4"/>
      <c r="C4" s="4"/>
      <c r="D4" s="4" t="s">
        <v>29</v>
      </c>
      <c r="E4" s="4"/>
      <c r="F4" s="11"/>
      <c r="G4" s="4" t="s">
        <v>30</v>
      </c>
      <c r="H4" s="4"/>
      <c r="I4" s="11"/>
      <c r="J4" s="4" t="s">
        <v>31</v>
      </c>
      <c r="K4" s="4"/>
      <c r="L4" s="11"/>
      <c r="M4" s="4" t="s">
        <v>32</v>
      </c>
      <c r="N4" s="4"/>
      <c r="O4" s="11"/>
      <c r="P4" s="4" t="s">
        <v>33</v>
      </c>
      <c r="Q4" s="4"/>
      <c r="R4" s="11"/>
      <c r="S4" s="4"/>
    </row>
    <row r="5" customFormat="false" ht="14.65" hidden="false" customHeight="false" outlineLevel="0" collapsed="false">
      <c r="A5" s="1" t="s">
        <v>86</v>
      </c>
      <c r="B5" s="5" t="s">
        <v>87</v>
      </c>
      <c r="C5" s="5" t="s">
        <v>88</v>
      </c>
      <c r="D5" s="5" t="s">
        <v>8</v>
      </c>
      <c r="E5" s="5" t="s">
        <v>89</v>
      </c>
      <c r="F5" s="12" t="s">
        <v>90</v>
      </c>
      <c r="G5" s="5" t="s">
        <v>8</v>
      </c>
      <c r="H5" s="5" t="s">
        <v>89</v>
      </c>
      <c r="I5" s="12" t="s">
        <v>90</v>
      </c>
      <c r="J5" s="5" t="s">
        <v>8</v>
      </c>
      <c r="K5" s="5" t="s">
        <v>89</v>
      </c>
      <c r="L5" s="12" t="s">
        <v>90</v>
      </c>
      <c r="M5" s="5" t="s">
        <v>8</v>
      </c>
      <c r="N5" s="5" t="s">
        <v>89</v>
      </c>
      <c r="O5" s="12" t="s">
        <v>90</v>
      </c>
      <c r="P5" s="5" t="s">
        <v>8</v>
      </c>
      <c r="Q5" s="5" t="s">
        <v>89</v>
      </c>
      <c r="R5" s="12" t="s">
        <v>90</v>
      </c>
      <c r="S5" s="5" t="s">
        <v>15</v>
      </c>
    </row>
    <row r="6" customFormat="false" ht="14.65" hidden="false" customHeight="false" outlineLevel="0" collapsed="false">
      <c r="A6" s="1" t="n">
        <v>3282</v>
      </c>
      <c r="B6" s="6" t="s">
        <v>91</v>
      </c>
      <c r="C6" s="6" t="n">
        <v>1.1</v>
      </c>
      <c r="D6" s="7" t="n">
        <v>998.0399</v>
      </c>
      <c r="E6" s="7" t="n">
        <v>248.8427</v>
      </c>
      <c r="F6" s="13" t="n">
        <v>0.904732678542835</v>
      </c>
      <c r="G6" s="7" t="n">
        <v>242.8937</v>
      </c>
      <c r="H6" s="7" t="n">
        <v>266.1085</v>
      </c>
      <c r="I6" s="13" t="n">
        <v>-1.05617800757494</v>
      </c>
      <c r="J6" s="7" t="n">
        <v>23.3854</v>
      </c>
      <c r="K6" s="7" t="n">
        <v>59.584</v>
      </c>
      <c r="L6" s="13" t="n">
        <v>0.366057380179962</v>
      </c>
      <c r="M6" s="7" t="n">
        <v>108.3953</v>
      </c>
      <c r="N6" s="7" t="n">
        <v>151.2103</v>
      </c>
      <c r="O6" s="13" t="n">
        <v>0.414782531090302</v>
      </c>
      <c r="P6" s="7" t="n">
        <v>67.2857</v>
      </c>
      <c r="Q6" s="7" t="n">
        <v>65.9353</v>
      </c>
      <c r="R6" s="13" t="n">
        <v>-0.436159198655933</v>
      </c>
      <c r="S6" s="6" t="n">
        <v>301</v>
      </c>
    </row>
    <row r="7" customFormat="false" ht="14.65" hidden="false" customHeight="false" outlineLevel="0" collapsed="false">
      <c r="A7" s="1" t="n">
        <v>6482</v>
      </c>
      <c r="B7" s="6" t="s">
        <v>92</v>
      </c>
      <c r="C7" s="6" t="n">
        <v>1.1</v>
      </c>
      <c r="D7" s="7" t="n">
        <v>1055.2</v>
      </c>
      <c r="E7" s="7" t="n">
        <v>237.7472</v>
      </c>
      <c r="F7" s="13" t="n">
        <v>1.62056386763273</v>
      </c>
      <c r="G7" s="7" t="n">
        <v>180.7667</v>
      </c>
      <c r="H7" s="7" t="n">
        <v>256.1415</v>
      </c>
      <c r="I7" s="13" t="n">
        <v>-1.68120778691469</v>
      </c>
      <c r="J7" s="7" t="n">
        <v>19.5333</v>
      </c>
      <c r="K7" s="7" t="n">
        <v>37.8525</v>
      </c>
      <c r="L7" s="13" t="n">
        <v>-0.366773834273585</v>
      </c>
      <c r="M7" s="7" t="n">
        <v>134.0667</v>
      </c>
      <c r="N7" s="7" t="n">
        <v>141.8399</v>
      </c>
      <c r="O7" s="13" t="n">
        <v>1.13127007898318</v>
      </c>
      <c r="P7" s="7" t="n">
        <v>50.4333</v>
      </c>
      <c r="Q7" s="7" t="n">
        <v>34.6467</v>
      </c>
      <c r="R7" s="13" t="n">
        <v>-2.89692311077465</v>
      </c>
      <c r="S7" s="6" t="n">
        <v>30</v>
      </c>
    </row>
    <row r="8" customFormat="false" ht="14.65" hidden="false" customHeight="false" outlineLevel="0" collapsed="false">
      <c r="A8" s="1" t="n">
        <v>1282</v>
      </c>
      <c r="B8" s="6" t="s">
        <v>93</v>
      </c>
      <c r="C8" s="6" t="n">
        <v>1.2</v>
      </c>
      <c r="D8" s="7" t="n">
        <v>1045.375</v>
      </c>
      <c r="E8" s="7" t="n">
        <v>322.9984</v>
      </c>
      <c r="F8" s="13" t="n">
        <v>0.920852704714305</v>
      </c>
      <c r="G8" s="7" t="n">
        <v>241.3333</v>
      </c>
      <c r="H8" s="7" t="n">
        <v>297.4545</v>
      </c>
      <c r="I8" s="13" t="n">
        <v>-0.302088531821575</v>
      </c>
      <c r="J8" s="7" t="n">
        <v>19.5</v>
      </c>
      <c r="K8" s="7" t="n">
        <v>30.5216</v>
      </c>
      <c r="L8" s="13" t="n">
        <v>-0.411404544568612</v>
      </c>
      <c r="M8" s="7" t="n">
        <v>61.875</v>
      </c>
      <c r="N8" s="7" t="n">
        <v>117.7042</v>
      </c>
      <c r="O8" s="13" t="n">
        <v>-1.77089928306663</v>
      </c>
      <c r="P8" s="7" t="n">
        <v>71.9167</v>
      </c>
      <c r="Q8" s="7" t="n">
        <v>113.8408</v>
      </c>
      <c r="R8" s="13" t="n">
        <v>0.125205611014726</v>
      </c>
      <c r="S8" s="6" t="n">
        <v>24</v>
      </c>
    </row>
    <row r="9" customFormat="false" ht="14.65" hidden="false" customHeight="false" outlineLevel="0" collapsed="false">
      <c r="A9" s="1" t="n">
        <v>6442</v>
      </c>
      <c r="B9" s="6" t="s">
        <v>94</v>
      </c>
      <c r="C9" s="6" t="n">
        <v>1.5</v>
      </c>
      <c r="D9" s="7" t="n">
        <v>1011.6531</v>
      </c>
      <c r="E9" s="7" t="n">
        <v>261.1081</v>
      </c>
      <c r="F9" s="13" t="n">
        <v>0.722407216467925</v>
      </c>
      <c r="G9" s="7" t="n">
        <v>241.5714</v>
      </c>
      <c r="H9" s="7" t="n">
        <v>286.6974</v>
      </c>
      <c r="I9" s="13" t="n">
        <v>-0.440719257245387</v>
      </c>
      <c r="J9" s="7" t="n">
        <v>17.2449</v>
      </c>
      <c r="K9" s="7" t="n">
        <v>50.0319</v>
      </c>
      <c r="L9" s="13" t="n">
        <v>-0.672625234433483</v>
      </c>
      <c r="M9" s="7" t="n">
        <v>102.102</v>
      </c>
      <c r="N9" s="7" t="n">
        <v>145.5818</v>
      </c>
      <c r="O9" s="13" t="n">
        <v>-0.121276515376829</v>
      </c>
      <c r="P9" s="7" t="n">
        <v>67.4286</v>
      </c>
      <c r="Q9" s="7" t="n">
        <v>53.7452</v>
      </c>
      <c r="R9" s="13" t="n">
        <v>-0.20336687956873</v>
      </c>
      <c r="S9" s="6" t="n">
        <v>49</v>
      </c>
    </row>
    <row r="10" customFormat="false" ht="14.65" hidden="false" customHeight="false" outlineLevel="0" collapsed="false">
      <c r="A10" s="1" t="n">
        <v>5082</v>
      </c>
      <c r="B10" s="6" t="s">
        <v>95</v>
      </c>
      <c r="C10" s="6" t="n">
        <v>1.6</v>
      </c>
      <c r="D10" s="7" t="n">
        <v>975.0465</v>
      </c>
      <c r="E10" s="7" t="n">
        <v>252.6415</v>
      </c>
      <c r="F10" s="13" t="n">
        <v>-0.245143921445159</v>
      </c>
      <c r="G10" s="7" t="n">
        <v>334.3023</v>
      </c>
      <c r="H10" s="7" t="n">
        <v>264.5728</v>
      </c>
      <c r="I10" s="13" t="n">
        <v>1.83801616619173</v>
      </c>
      <c r="J10" s="7" t="n">
        <v>21.1628</v>
      </c>
      <c r="K10" s="7" t="n">
        <v>39.8843</v>
      </c>
      <c r="L10" s="13" t="n">
        <v>-0.150601298443074</v>
      </c>
      <c r="M10" s="7" t="n">
        <v>56.1163</v>
      </c>
      <c r="N10" s="7" t="n">
        <v>107.3586</v>
      </c>
      <c r="O10" s="13" t="n">
        <v>-2.93159597151594</v>
      </c>
      <c r="P10" s="7" t="n">
        <v>53.3721</v>
      </c>
      <c r="Q10" s="7" t="n">
        <v>33.6473</v>
      </c>
      <c r="R10" s="13" t="n">
        <v>-2.98575435156741</v>
      </c>
      <c r="S10" s="6" t="n">
        <v>43</v>
      </c>
    </row>
    <row r="11" customFormat="false" ht="14.65" hidden="false" customHeight="false" outlineLevel="0" collapsed="false">
      <c r="A11" s="1" t="n">
        <v>1642</v>
      </c>
      <c r="B11" s="6" t="s">
        <v>96</v>
      </c>
      <c r="C11" s="6" t="n">
        <v>1.7</v>
      </c>
      <c r="D11" s="7" t="n">
        <v>974.4627</v>
      </c>
      <c r="E11" s="7" t="n">
        <v>260.714</v>
      </c>
      <c r="F11" s="13" t="n">
        <v>-0.313942017290346</v>
      </c>
      <c r="G11" s="7" t="n">
        <v>264.9403</v>
      </c>
      <c r="H11" s="7" t="n">
        <v>296.5531</v>
      </c>
      <c r="I11" s="13" t="n">
        <v>0.143035183726423</v>
      </c>
      <c r="J11" s="7" t="n">
        <v>34.2388</v>
      </c>
      <c r="K11" s="7" t="n">
        <v>80.1875</v>
      </c>
      <c r="L11" s="13" t="n">
        <v>1.23540367832592</v>
      </c>
      <c r="M11" s="7" t="n">
        <v>99.403</v>
      </c>
      <c r="N11" s="7" t="n">
        <v>130.8274</v>
      </c>
      <c r="O11" s="13" t="n">
        <v>-0.324006115202291</v>
      </c>
      <c r="P11" s="7" t="n">
        <v>66.9552</v>
      </c>
      <c r="Q11" s="7" t="n">
        <v>56.0977</v>
      </c>
      <c r="R11" s="13" t="n">
        <v>-0.295601944512148</v>
      </c>
      <c r="S11" s="6" t="n">
        <v>67</v>
      </c>
    </row>
    <row r="12" customFormat="false" ht="14.65" hidden="false" customHeight="false" outlineLevel="0" collapsed="false">
      <c r="A12" s="1" t="n">
        <v>2082</v>
      </c>
      <c r="B12" s="6" t="s">
        <v>97</v>
      </c>
      <c r="C12" s="6" t="n">
        <v>1.8</v>
      </c>
      <c r="D12" s="7" t="n">
        <v>972.5357</v>
      </c>
      <c r="E12" s="7" t="n">
        <v>265.7445</v>
      </c>
      <c r="F12" s="13" t="n">
        <v>-0.472000040819422</v>
      </c>
      <c r="G12" s="7" t="n">
        <v>286.5982</v>
      </c>
      <c r="H12" s="7" t="n">
        <v>290.0693</v>
      </c>
      <c r="I12" s="13" t="n">
        <v>0.96866284910507</v>
      </c>
      <c r="J12" s="7" t="n">
        <v>24.1429</v>
      </c>
      <c r="K12" s="7" t="n">
        <v>51.4688</v>
      </c>
      <c r="L12" s="13" t="n">
        <v>0.415833069415665</v>
      </c>
      <c r="M12" s="7" t="n">
        <v>93.9196</v>
      </c>
      <c r="N12" s="7" t="n">
        <v>146.1766</v>
      </c>
      <c r="O12" s="13" t="n">
        <v>-0.764440513034792</v>
      </c>
      <c r="P12" s="7" t="n">
        <v>62.8036</v>
      </c>
      <c r="Q12" s="7" t="n">
        <v>43.228</v>
      </c>
      <c r="R12" s="13" t="n">
        <v>-1.47106857354933</v>
      </c>
      <c r="S12" s="6" t="n">
        <v>112</v>
      </c>
    </row>
    <row r="13" customFormat="false" ht="14.65" hidden="false" customHeight="false" outlineLevel="0" collapsed="false">
      <c r="A13" s="1" t="n">
        <v>6282</v>
      </c>
      <c r="B13" s="6" t="s">
        <v>98</v>
      </c>
      <c r="C13" s="6" t="n">
        <v>2.2</v>
      </c>
      <c r="D13" s="7" t="n">
        <v>1054.2093</v>
      </c>
      <c r="E13" s="7" t="n">
        <v>238.543</v>
      </c>
      <c r="F13" s="13" t="n">
        <v>2.67459812441971</v>
      </c>
      <c r="G13" s="7" t="n">
        <v>203.0581</v>
      </c>
      <c r="H13" s="7" t="n">
        <v>256.7327</v>
      </c>
      <c r="I13" s="13" t="n">
        <v>-2.02239643428543</v>
      </c>
      <c r="J13" s="7" t="n">
        <v>28.407</v>
      </c>
      <c r="K13" s="7" t="n">
        <v>58.9106</v>
      </c>
      <c r="L13" s="13" t="n">
        <v>0.985423712343525</v>
      </c>
      <c r="M13" s="7" t="n">
        <v>94.2326</v>
      </c>
      <c r="N13" s="7" t="n">
        <v>128.9665</v>
      </c>
      <c r="O13" s="13" t="n">
        <v>-0.737236296854559</v>
      </c>
      <c r="P13" s="7" t="n">
        <v>60.093</v>
      </c>
      <c r="Q13" s="7" t="n">
        <v>44.2173</v>
      </c>
      <c r="R13" s="13" t="n">
        <v>-1.82598149212999</v>
      </c>
      <c r="S13" s="6" t="n">
        <v>86</v>
      </c>
    </row>
    <row r="14" customFormat="false" ht="14.65" hidden="false" customHeight="false" outlineLevel="0" collapsed="false">
      <c r="A14" s="1" t="n">
        <v>7602</v>
      </c>
      <c r="B14" s="6" t="s">
        <v>99</v>
      </c>
      <c r="C14" s="6" t="n">
        <v>2.6</v>
      </c>
      <c r="D14" s="7" t="n">
        <v>965.1429</v>
      </c>
      <c r="E14" s="7" t="n">
        <v>261.1293</v>
      </c>
      <c r="F14" s="13" t="n">
        <v>-0.726810543051282</v>
      </c>
      <c r="G14" s="7" t="n">
        <v>257.9184</v>
      </c>
      <c r="H14" s="7" t="n">
        <v>256.4342</v>
      </c>
      <c r="I14" s="13" t="n">
        <v>-0.0686666342693965</v>
      </c>
      <c r="J14" s="7" t="n">
        <v>17.7857</v>
      </c>
      <c r="K14" s="7" t="n">
        <v>56.211</v>
      </c>
      <c r="L14" s="13" t="n">
        <v>-0.748916989024282</v>
      </c>
      <c r="M14" s="7" t="n">
        <v>117.6531</v>
      </c>
      <c r="N14" s="7" t="n">
        <v>189.5123</v>
      </c>
      <c r="O14" s="13" t="n">
        <v>0.674239516637022</v>
      </c>
      <c r="P14" s="7" t="n">
        <v>81.5</v>
      </c>
      <c r="Q14" s="7" t="n">
        <v>87.5359</v>
      </c>
      <c r="R14" s="13" t="n">
        <v>1.40346457768031</v>
      </c>
      <c r="S14" s="6" t="n">
        <v>98</v>
      </c>
    </row>
    <row r="15" customFormat="false" ht="14.65" hidden="false" customHeight="false" outlineLevel="0" collapsed="false">
      <c r="A15" s="1" t="n">
        <v>1692</v>
      </c>
      <c r="B15" s="6" t="s">
        <v>100</v>
      </c>
      <c r="C15" s="6" t="n">
        <v>2.8</v>
      </c>
      <c r="D15" s="7" t="n">
        <v>952.956</v>
      </c>
      <c r="E15" s="7" t="n">
        <v>256.9836</v>
      </c>
      <c r="F15" s="13" t="n">
        <v>-1.15926149454411</v>
      </c>
      <c r="G15" s="7" t="n">
        <v>253.7582</v>
      </c>
      <c r="H15" s="7" t="n">
        <v>271.4969</v>
      </c>
      <c r="I15" s="13" t="n">
        <v>-0.207167480907649</v>
      </c>
      <c r="J15" s="7" t="n">
        <v>19.967</v>
      </c>
      <c r="K15" s="7" t="n">
        <v>51.2678</v>
      </c>
      <c r="L15" s="13" t="n">
        <v>-0.389579259959354</v>
      </c>
      <c r="M15" s="7" t="n">
        <v>119.9451</v>
      </c>
      <c r="N15" s="7" t="n">
        <v>155.6057</v>
      </c>
      <c r="O15" s="13" t="n">
        <v>0.927883433817303</v>
      </c>
      <c r="P15" s="7" t="n">
        <v>93.3736</v>
      </c>
      <c r="Q15" s="7" t="n">
        <v>141.2994</v>
      </c>
      <c r="R15" s="13" t="n">
        <v>1.64117386637566</v>
      </c>
      <c r="S15" s="6" t="n">
        <v>91</v>
      </c>
    </row>
    <row r="16" customFormat="false" ht="14.65" hidden="false" customHeight="false" outlineLevel="0" collapsed="false">
      <c r="A16" s="1" t="n">
        <v>4992</v>
      </c>
      <c r="B16" s="6" t="s">
        <v>101</v>
      </c>
      <c r="C16" s="6" t="n">
        <v>3.2</v>
      </c>
      <c r="D16" s="7" t="n">
        <v>1008.5444</v>
      </c>
      <c r="E16" s="7" t="n">
        <v>250.7715</v>
      </c>
      <c r="F16" s="13" t="n">
        <v>0.897222656233954</v>
      </c>
      <c r="G16" s="7" t="n">
        <v>203.8111</v>
      </c>
      <c r="H16" s="7" t="n">
        <v>257.9759</v>
      </c>
      <c r="I16" s="13" t="n">
        <v>-2.0306868811098</v>
      </c>
      <c r="J16" s="7" t="n">
        <v>33.3889</v>
      </c>
      <c r="K16" s="7" t="n">
        <v>72.2004</v>
      </c>
      <c r="L16" s="13" t="n">
        <v>1.47518057422245</v>
      </c>
      <c r="M16" s="7" t="n">
        <v>131.4556</v>
      </c>
      <c r="N16" s="7" t="n">
        <v>146.4266</v>
      </c>
      <c r="O16" s="13" t="n">
        <v>1.71599263297282</v>
      </c>
      <c r="P16" s="7" t="n">
        <v>62.8</v>
      </c>
      <c r="Q16" s="7" t="n">
        <v>48.754</v>
      </c>
      <c r="R16" s="13" t="n">
        <v>-1.18326030421777</v>
      </c>
      <c r="S16" s="6" t="n">
        <v>90</v>
      </c>
    </row>
    <row r="17" customFormat="false" ht="14.65" hidden="false" customHeight="false" outlineLevel="0" collapsed="false">
      <c r="A17" s="1" t="n">
        <v>3362</v>
      </c>
      <c r="B17" s="6" t="s">
        <v>102</v>
      </c>
      <c r="C17" s="6" t="n">
        <v>3.7</v>
      </c>
      <c r="D17" s="7" t="n">
        <v>980.903</v>
      </c>
      <c r="E17" s="7" t="n">
        <v>251.5894</v>
      </c>
      <c r="F17" s="13" t="n">
        <v>-0.164649975454398</v>
      </c>
      <c r="G17" s="7" t="n">
        <v>243.2388</v>
      </c>
      <c r="H17" s="7" t="n">
        <v>265.2231</v>
      </c>
      <c r="I17" s="13" t="n">
        <v>-0.706991046953522</v>
      </c>
      <c r="J17" s="7" t="n">
        <v>19.9104</v>
      </c>
      <c r="K17" s="7" t="n">
        <v>47.6572</v>
      </c>
      <c r="L17" s="13" t="n">
        <v>-0.517464218138453</v>
      </c>
      <c r="M17" s="7" t="n">
        <v>132.3358</v>
      </c>
      <c r="N17" s="7" t="n">
        <v>169.4611</v>
      </c>
      <c r="O17" s="13" t="n">
        <v>1.86609881953351</v>
      </c>
      <c r="P17" s="7" t="n">
        <v>63.6119</v>
      </c>
      <c r="Q17" s="7" t="n">
        <v>47.2976</v>
      </c>
      <c r="R17" s="13" t="n">
        <v>-1.27894444019641</v>
      </c>
      <c r="S17" s="6" t="n">
        <v>134</v>
      </c>
    </row>
    <row r="18" customFormat="false" ht="14.65" hidden="false" customHeight="false" outlineLevel="0" collapsed="false">
      <c r="A18" s="1" t="n">
        <v>1922</v>
      </c>
      <c r="B18" s="6" t="s">
        <v>103</v>
      </c>
      <c r="C18" s="6" t="n">
        <v>3.9</v>
      </c>
      <c r="D18" s="7" t="n">
        <v>1001.0846</v>
      </c>
      <c r="E18" s="7" t="n">
        <v>262.7903</v>
      </c>
      <c r="F18" s="13" t="n">
        <v>0.706559112894547</v>
      </c>
      <c r="G18" s="7" t="n">
        <v>264.2846</v>
      </c>
      <c r="H18" s="7" t="n">
        <v>276.4193</v>
      </c>
      <c r="I18" s="13" t="n">
        <v>0.185306562611698</v>
      </c>
      <c r="J18" s="7" t="n">
        <v>19.7462</v>
      </c>
      <c r="K18" s="7" t="n">
        <v>41.2941</v>
      </c>
      <c r="L18" s="13" t="n">
        <v>-0.628627083980063</v>
      </c>
      <c r="M18" s="7" t="n">
        <v>90.8462</v>
      </c>
      <c r="N18" s="7" t="n">
        <v>123.3079</v>
      </c>
      <c r="O18" s="13" t="n">
        <v>-1.24437812522448</v>
      </c>
      <c r="P18" s="7" t="n">
        <v>64.0385</v>
      </c>
      <c r="Q18" s="7" t="n">
        <v>63.0027</v>
      </c>
      <c r="R18" s="13" t="n">
        <v>-0.883152852272491</v>
      </c>
      <c r="S18" s="6" t="n">
        <v>130</v>
      </c>
    </row>
    <row r="19" customFormat="false" ht="14.65" hidden="false" customHeight="false" outlineLevel="0" collapsed="false">
      <c r="A19" s="1" t="n">
        <v>1122</v>
      </c>
      <c r="B19" s="6" t="s">
        <v>104</v>
      </c>
      <c r="C19" s="6" t="n">
        <v>4.2</v>
      </c>
      <c r="D19" s="7" t="n">
        <v>965.6372</v>
      </c>
      <c r="E19" s="7" t="n">
        <v>254.6049</v>
      </c>
      <c r="F19" s="13" t="n">
        <v>-0.778112495680532</v>
      </c>
      <c r="G19" s="7" t="n">
        <v>270.6018</v>
      </c>
      <c r="H19" s="7" t="n">
        <v>276.0237</v>
      </c>
      <c r="I19" s="13" t="n">
        <v>0.413354420740428</v>
      </c>
      <c r="J19" s="7" t="n">
        <v>11.0796</v>
      </c>
      <c r="K19" s="7" t="n">
        <v>22.8802</v>
      </c>
      <c r="L19" s="13" t="n">
        <v>-4.73920305546517</v>
      </c>
      <c r="M19" s="7" t="n">
        <v>114.9292</v>
      </c>
      <c r="N19" s="7" t="n">
        <v>153.7389</v>
      </c>
      <c r="O19" s="13" t="n">
        <v>0.701441850136584</v>
      </c>
      <c r="P19" s="7" t="n">
        <v>77.7522</v>
      </c>
      <c r="Q19" s="7" t="n">
        <v>67.0601</v>
      </c>
      <c r="R19" s="13" t="n">
        <v>1.36820348649752</v>
      </c>
      <c r="S19" s="6" t="n">
        <v>113</v>
      </c>
    </row>
    <row r="20" customFormat="false" ht="14.65" hidden="false" customHeight="false" outlineLevel="0" collapsed="false">
      <c r="A20" s="1" t="n">
        <v>2162</v>
      </c>
      <c r="B20" s="6" t="s">
        <v>105</v>
      </c>
      <c r="C20" s="6" t="n">
        <v>4.7</v>
      </c>
      <c r="D20" s="7" t="n">
        <v>960.0385</v>
      </c>
      <c r="E20" s="7" t="n">
        <v>253.6034</v>
      </c>
      <c r="F20" s="13" t="n">
        <v>-1.18309066416104</v>
      </c>
      <c r="G20" s="7" t="n">
        <v>281.0385</v>
      </c>
      <c r="H20" s="7" t="n">
        <v>271.2441</v>
      </c>
      <c r="I20" s="13" t="n">
        <v>0.962785752790152</v>
      </c>
      <c r="J20" s="7" t="n">
        <v>21.3205</v>
      </c>
      <c r="K20" s="7" t="n">
        <v>58.7745</v>
      </c>
      <c r="L20" s="13" t="n">
        <v>-0.160401642051475</v>
      </c>
      <c r="M20" s="7" t="n">
        <v>111.5769</v>
      </c>
      <c r="N20" s="7" t="n">
        <v>150.2401</v>
      </c>
      <c r="O20" s="13" t="n">
        <v>0.565079752229728</v>
      </c>
      <c r="P20" s="7" t="n">
        <v>66.0256</v>
      </c>
      <c r="Q20" s="7" t="n">
        <v>49.2369</v>
      </c>
      <c r="R20" s="13" t="n">
        <v>-0.730591502836969</v>
      </c>
      <c r="S20" s="6" t="n">
        <v>156</v>
      </c>
    </row>
    <row r="21" customFormat="false" ht="14.65" hidden="false" customHeight="false" outlineLevel="0" collapsed="false">
      <c r="A21" s="1" t="n">
        <v>6162</v>
      </c>
      <c r="B21" s="6" t="s">
        <v>106</v>
      </c>
      <c r="C21" s="6" t="n">
        <v>5.9</v>
      </c>
      <c r="D21" s="7" t="n">
        <v>987.5404</v>
      </c>
      <c r="E21" s="7" t="n">
        <v>259.7138</v>
      </c>
      <c r="F21" s="13" t="n">
        <v>0.15846217908236</v>
      </c>
      <c r="G21" s="7" t="n">
        <v>260.1768</v>
      </c>
      <c r="H21" s="7" t="n">
        <v>263.8501</v>
      </c>
      <c r="I21" s="13" t="n">
        <v>0.0236585279695622</v>
      </c>
      <c r="J21" s="7" t="n">
        <v>24.6515</v>
      </c>
      <c r="K21" s="7" t="n">
        <v>58.6468</v>
      </c>
      <c r="L21" s="13" t="n">
        <v>0.601940171211785</v>
      </c>
      <c r="M21" s="7" t="n">
        <v>97.5152</v>
      </c>
      <c r="N21" s="7" t="n">
        <v>142.2707</v>
      </c>
      <c r="O21" s="13" t="n">
        <v>-0.685194724398988</v>
      </c>
      <c r="P21" s="7" t="n">
        <v>70.1162</v>
      </c>
      <c r="Q21" s="7" t="n">
        <v>62.6471</v>
      </c>
      <c r="R21" s="13" t="n">
        <v>0.243192349696452</v>
      </c>
      <c r="S21" s="6" t="n">
        <v>198</v>
      </c>
    </row>
    <row r="22" customFormat="false" ht="14.65" hidden="false" customHeight="false" outlineLevel="0" collapsed="false">
      <c r="A22" s="1" t="n">
        <v>7362</v>
      </c>
      <c r="B22" s="6" t="s">
        <v>107</v>
      </c>
      <c r="C22" s="6" t="n">
        <v>6.3</v>
      </c>
      <c r="D22" s="7" t="n">
        <v>1026.1762</v>
      </c>
      <c r="E22" s="7" t="n">
        <v>271.1836</v>
      </c>
      <c r="F22" s="13" t="n">
        <v>2.17324487332804</v>
      </c>
      <c r="G22" s="7" t="n">
        <v>214.2762</v>
      </c>
      <c r="H22" s="7" t="n">
        <v>257.4278</v>
      </c>
      <c r="I22" s="13" t="n">
        <v>-2.48606488849165</v>
      </c>
      <c r="J22" s="7" t="n">
        <v>19.381</v>
      </c>
      <c r="K22" s="7" t="n">
        <v>40.8503</v>
      </c>
      <c r="L22" s="13" t="n">
        <v>-0.917330741211591</v>
      </c>
      <c r="M22" s="7" t="n">
        <v>111.7143</v>
      </c>
      <c r="N22" s="7" t="n">
        <v>165.3602</v>
      </c>
      <c r="O22" s="13" t="n">
        <v>0.606151594306876</v>
      </c>
      <c r="P22" s="7" t="n">
        <v>68.4524</v>
      </c>
      <c r="Q22" s="7" t="n">
        <v>69.4719</v>
      </c>
      <c r="R22" s="13" t="n">
        <v>-0.112503420928946</v>
      </c>
      <c r="S22" s="6" t="n">
        <v>210</v>
      </c>
    </row>
    <row r="23" customFormat="false" ht="14.65" hidden="false" customHeight="false" outlineLevel="0" collapsed="false">
      <c r="A23" s="1" t="n">
        <v>1602</v>
      </c>
      <c r="B23" s="6" t="s">
        <v>108</v>
      </c>
      <c r="C23" s="6" t="n">
        <v>8.1</v>
      </c>
      <c r="D23" s="7" t="n">
        <v>992.8696</v>
      </c>
      <c r="E23" s="7" t="n">
        <v>268.7511</v>
      </c>
      <c r="F23" s="13" t="n">
        <v>0.517957255668259</v>
      </c>
      <c r="G23" s="7" t="n">
        <v>262.7191</v>
      </c>
      <c r="H23" s="7" t="n">
        <v>270.9264</v>
      </c>
      <c r="I23" s="13" t="n">
        <v>0.184454716077154</v>
      </c>
      <c r="J23" s="7" t="n">
        <v>24.8997</v>
      </c>
      <c r="K23" s="7" t="n">
        <v>66.6144</v>
      </c>
      <c r="L23" s="13" t="n">
        <v>0.711736544061635</v>
      </c>
      <c r="M23" s="7" t="n">
        <v>95.786</v>
      </c>
      <c r="N23" s="7" t="n">
        <v>155.1909</v>
      </c>
      <c r="O23" s="13" t="n">
        <v>-0.952201389533164</v>
      </c>
      <c r="P23" s="7" t="n">
        <v>63.7258</v>
      </c>
      <c r="Q23" s="7" t="n">
        <v>58.4147</v>
      </c>
      <c r="R23" s="13" t="n">
        <v>-1.49329018551863</v>
      </c>
      <c r="S23" s="6" t="n">
        <v>299</v>
      </c>
    </row>
    <row r="24" customFormat="false" ht="14.65" hidden="false" customHeight="false" outlineLevel="0" collapsed="false">
      <c r="A24" s="1" t="n">
        <v>4472</v>
      </c>
      <c r="B24" s="6" t="s">
        <v>109</v>
      </c>
      <c r="C24" s="6" t="n">
        <v>14.5</v>
      </c>
      <c r="D24" s="7" t="n">
        <v>962.2774</v>
      </c>
      <c r="E24" s="7" t="n">
        <v>255.2366</v>
      </c>
      <c r="F24" s="13" t="n">
        <v>-1.83775595268075</v>
      </c>
      <c r="G24" s="7" t="n">
        <v>278.988</v>
      </c>
      <c r="H24" s="7" t="n">
        <v>276.2479</v>
      </c>
      <c r="I24" s="13" t="n">
        <v>1.47370681879349</v>
      </c>
      <c r="J24" s="7" t="n">
        <v>22.3493</v>
      </c>
      <c r="K24" s="7" t="n">
        <v>58.4522</v>
      </c>
      <c r="L24" s="13" t="n">
        <v>0.0948190504153902</v>
      </c>
      <c r="M24" s="7" t="n">
        <v>110.1737</v>
      </c>
      <c r="N24" s="7" t="n">
        <v>155.6186</v>
      </c>
      <c r="O24" s="13" t="n">
        <v>0.750900185277726</v>
      </c>
      <c r="P24" s="7" t="n">
        <v>66.2116</v>
      </c>
      <c r="Q24" s="7" t="n">
        <v>57.4496</v>
      </c>
      <c r="R24" s="13" t="n">
        <v>-1.00836351021544</v>
      </c>
      <c r="S24" s="6" t="n">
        <v>501</v>
      </c>
    </row>
    <row r="25" customFormat="false" ht="14.65" hidden="false" customHeight="false" outlineLevel="0" collapsed="false">
      <c r="A25" s="1" t="n">
        <v>5602</v>
      </c>
      <c r="B25" s="6" t="s">
        <v>110</v>
      </c>
      <c r="C25" s="6" t="n">
        <v>18.1</v>
      </c>
      <c r="D25" s="7" t="n">
        <v>979.4608</v>
      </c>
      <c r="E25" s="7" t="n">
        <v>256.3715</v>
      </c>
      <c r="F25" s="13" t="n">
        <v>-0.608005291359397</v>
      </c>
      <c r="G25" s="7" t="n">
        <v>266.8254</v>
      </c>
      <c r="H25" s="7" t="n">
        <v>273.3378</v>
      </c>
      <c r="I25" s="13" t="n">
        <v>0.799278645619653</v>
      </c>
      <c r="J25" s="7" t="n">
        <v>21.3484</v>
      </c>
      <c r="K25" s="7" t="n">
        <v>52.8879</v>
      </c>
      <c r="L25" s="13" t="n">
        <v>-0.425410127881567</v>
      </c>
      <c r="M25" s="7" t="n">
        <v>99.9774</v>
      </c>
      <c r="N25" s="7" t="n">
        <v>156.7529</v>
      </c>
      <c r="O25" s="13" t="n">
        <v>-0.91815351317287</v>
      </c>
      <c r="P25" s="7" t="n">
        <v>72.388</v>
      </c>
      <c r="Q25" s="7" t="n">
        <v>67.3431</v>
      </c>
      <c r="R25" s="13" t="n">
        <v>1.55274413447553</v>
      </c>
      <c r="S25" s="6" t="n">
        <v>1237</v>
      </c>
    </row>
    <row r="26" customFormat="false" ht="14.65" hidden="false" customHeight="false" outlineLevel="0" collapsed="false">
      <c r="B26" s="8"/>
      <c r="C26" s="9" t="s">
        <v>11</v>
      </c>
      <c r="D26" s="9" t="n">
        <v>984.5445</v>
      </c>
      <c r="E26" s="9" t="n">
        <v>258.0484</v>
      </c>
      <c r="F26" s="14"/>
      <c r="G26" s="9" t="n">
        <v>259.7216</v>
      </c>
      <c r="H26" s="9" t="n">
        <v>271.6561</v>
      </c>
      <c r="I26" s="14"/>
      <c r="J26" s="9" t="n">
        <v>22.0882</v>
      </c>
      <c r="K26" s="9" t="n">
        <v>55.0303</v>
      </c>
      <c r="L26" s="14"/>
      <c r="M26" s="9" t="n">
        <v>104.6415</v>
      </c>
      <c r="N26" s="9" t="n">
        <v>153.5613</v>
      </c>
      <c r="O26" s="14"/>
      <c r="P26" s="9" t="n">
        <v>69.0043</v>
      </c>
      <c r="Q26" s="9" t="n">
        <v>65.5502</v>
      </c>
      <c r="R26" s="14"/>
      <c r="S26" s="8" t="n">
        <v>3969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15" activeCellId="0" sqref="C515 C515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17</v>
      </c>
    </row>
    <row r="2" customFormat="false" ht="14.65" hidden="false" customHeight="false" outlineLevel="0" collapsed="false">
      <c r="A2" s="1" t="s">
        <v>18</v>
      </c>
      <c r="B2" s="1" t="n">
        <v>32</v>
      </c>
      <c r="C2" s="1" t="s">
        <v>19</v>
      </c>
      <c r="D2" s="2" t="n">
        <v>33957</v>
      </c>
    </row>
    <row r="4" customFormat="false" ht="14.65" hidden="false" customHeight="false" outlineLevel="0" collapsed="false">
      <c r="A4" s="1" t="s">
        <v>0</v>
      </c>
      <c r="B4" s="1" t="s">
        <v>1</v>
      </c>
      <c r="C4" s="1" t="s">
        <v>2</v>
      </c>
    </row>
    <row r="5" customFormat="false" ht="14.65" hidden="false" customHeight="false" outlineLevel="0" collapsed="false">
      <c r="A5" s="1" t="s">
        <v>3</v>
      </c>
      <c r="B5" s="1" t="s">
        <v>4</v>
      </c>
      <c r="C5" s="1" t="s">
        <v>1</v>
      </c>
      <c r="D5" s="1" t="s">
        <v>111</v>
      </c>
    </row>
    <row r="7" customFormat="false" ht="14.65" hidden="false" customHeight="false" outlineLevel="0" collapsed="false">
      <c r="A7" s="1" t="s">
        <v>6</v>
      </c>
      <c r="B7" s="1" t="s">
        <v>7</v>
      </c>
      <c r="C7" s="1" t="s">
        <v>48</v>
      </c>
      <c r="D7" s="1" t="s">
        <v>8</v>
      </c>
      <c r="E7" s="1" t="s">
        <v>49</v>
      </c>
      <c r="F7" s="1" t="s">
        <v>50</v>
      </c>
      <c r="G7" s="1" t="s">
        <v>15</v>
      </c>
    </row>
    <row r="9" customFormat="false" ht="14.65" hidden="false" customHeight="false" outlineLevel="0" collapsed="false">
      <c r="A9" s="1" t="s">
        <v>12</v>
      </c>
      <c r="B9" s="1" t="s">
        <v>13</v>
      </c>
      <c r="C9" s="1" t="s">
        <v>84</v>
      </c>
      <c r="D9" s="1" t="n">
        <v>980.877</v>
      </c>
      <c r="E9" s="1" t="n">
        <v>258.4103</v>
      </c>
      <c r="F9" s="1" t="n">
        <v>5820</v>
      </c>
    </row>
    <row r="11" customFormat="false" ht="14.65" hidden="false" customHeight="false" outlineLevel="0" collapsed="false">
      <c r="A11" s="1" t="s">
        <v>111</v>
      </c>
      <c r="B11" s="1" t="n">
        <v>80</v>
      </c>
      <c r="C11" s="1" t="n">
        <v>971.0476</v>
      </c>
      <c r="D11" s="1" t="n">
        <v>252.5998</v>
      </c>
      <c r="E11" s="1" t="n">
        <v>21</v>
      </c>
    </row>
    <row r="12" customFormat="false" ht="14.65" hidden="false" customHeight="false" outlineLevel="0" collapsed="false">
      <c r="A12" s="1" t="s">
        <v>111</v>
      </c>
      <c r="B12" s="1" t="n">
        <v>360</v>
      </c>
      <c r="C12" s="1" t="n">
        <v>946.7345</v>
      </c>
      <c r="D12" s="1" t="n">
        <v>265.2672</v>
      </c>
      <c r="E12" s="1" t="n">
        <v>113</v>
      </c>
    </row>
    <row r="13" customFormat="false" ht="14.65" hidden="false" customHeight="false" outlineLevel="0" collapsed="false">
      <c r="A13" s="1" t="s">
        <v>111</v>
      </c>
      <c r="B13" s="1" t="n">
        <v>440</v>
      </c>
      <c r="C13" s="1" t="n">
        <v>1057.1111</v>
      </c>
      <c r="D13" s="1" t="n">
        <v>248.2238</v>
      </c>
      <c r="E13" s="1" t="n">
        <v>18</v>
      </c>
    </row>
    <row r="14" customFormat="false" ht="14.65" hidden="false" customHeight="false" outlineLevel="0" collapsed="false">
      <c r="A14" s="1" t="s">
        <v>111</v>
      </c>
      <c r="B14" s="1" t="n">
        <v>520</v>
      </c>
      <c r="C14" s="1" t="n">
        <v>984.4356</v>
      </c>
      <c r="D14" s="1" t="n">
        <v>227.6437</v>
      </c>
      <c r="E14" s="1" t="n">
        <v>101</v>
      </c>
    </row>
    <row r="15" customFormat="false" ht="14.65" hidden="false" customHeight="false" outlineLevel="0" collapsed="false">
      <c r="A15" s="1" t="s">
        <v>111</v>
      </c>
      <c r="B15" s="1" t="n">
        <v>620</v>
      </c>
      <c r="C15" s="1" t="n">
        <v>992.8</v>
      </c>
      <c r="D15" s="1" t="n">
        <v>293.7473</v>
      </c>
      <c r="E15" s="1" t="n">
        <v>15</v>
      </c>
    </row>
    <row r="16" customFormat="false" ht="14.65" hidden="false" customHeight="false" outlineLevel="0" collapsed="false">
      <c r="A16" s="1" t="s">
        <v>111</v>
      </c>
      <c r="B16" s="1" t="n">
        <v>720</v>
      </c>
      <c r="C16" s="1" t="n">
        <v>946.5581</v>
      </c>
      <c r="D16" s="1" t="n">
        <v>252.609</v>
      </c>
      <c r="E16" s="1" t="n">
        <v>86</v>
      </c>
    </row>
    <row r="17" customFormat="false" ht="14.65" hidden="false" customHeight="false" outlineLevel="0" collapsed="false">
      <c r="A17" s="1" t="s">
        <v>111</v>
      </c>
      <c r="B17" s="1" t="n">
        <v>845</v>
      </c>
      <c r="C17" s="1" t="n">
        <v>918</v>
      </c>
      <c r="D17" s="1" t="n">
        <v>118.1313</v>
      </c>
      <c r="E17" s="1" t="n">
        <v>7</v>
      </c>
    </row>
    <row r="18" customFormat="false" ht="14.65" hidden="false" customHeight="false" outlineLevel="0" collapsed="false">
      <c r="A18" s="1" t="s">
        <v>111</v>
      </c>
      <c r="B18" s="1" t="n">
        <v>875</v>
      </c>
      <c r="C18" s="1" t="n">
        <v>1011</v>
      </c>
      <c r="D18" s="1" t="n">
        <v>253.7547</v>
      </c>
      <c r="E18" s="1" t="n">
        <v>61</v>
      </c>
    </row>
    <row r="19" customFormat="false" ht="14.65" hidden="false" customHeight="false" outlineLevel="0" collapsed="false">
      <c r="A19" s="1" t="s">
        <v>111</v>
      </c>
      <c r="B19" s="1" t="n">
        <v>1120</v>
      </c>
      <c r="C19" s="1" t="n">
        <v>984.8354</v>
      </c>
      <c r="D19" s="1" t="n">
        <v>243.5897</v>
      </c>
      <c r="E19" s="1" t="n">
        <v>79</v>
      </c>
    </row>
    <row r="20" customFormat="false" ht="14.65" hidden="false" customHeight="false" outlineLevel="0" collapsed="false">
      <c r="A20" s="1" t="s">
        <v>111</v>
      </c>
      <c r="B20" s="1" t="n">
        <v>1125</v>
      </c>
      <c r="C20" s="1" t="n">
        <v>756.4</v>
      </c>
      <c r="D20" s="1" t="n">
        <v>97.12</v>
      </c>
      <c r="E20" s="1" t="n">
        <v>5</v>
      </c>
    </row>
    <row r="21" customFormat="false" ht="14.65" hidden="false" customHeight="false" outlineLevel="0" collapsed="false">
      <c r="A21" s="1" t="s">
        <v>111</v>
      </c>
      <c r="B21" s="1" t="n">
        <v>1160</v>
      </c>
      <c r="C21" s="1" t="n">
        <v>1000.2348</v>
      </c>
      <c r="D21" s="1" t="n">
        <v>252.5536</v>
      </c>
      <c r="E21" s="1" t="n">
        <v>132</v>
      </c>
    </row>
    <row r="22" customFormat="false" ht="14.65" hidden="false" customHeight="false" outlineLevel="0" collapsed="false">
      <c r="A22" s="1" t="s">
        <v>111</v>
      </c>
      <c r="B22" s="1" t="n">
        <v>1170</v>
      </c>
      <c r="C22" s="1" t="n">
        <v>1037.3103</v>
      </c>
      <c r="D22" s="1" t="n">
        <v>219.0941</v>
      </c>
      <c r="E22" s="1" t="n">
        <v>29</v>
      </c>
    </row>
    <row r="23" customFormat="false" ht="14.65" hidden="false" customHeight="false" outlineLevel="0" collapsed="false">
      <c r="A23" s="1" t="s">
        <v>111</v>
      </c>
      <c r="B23" s="1" t="n">
        <v>1200</v>
      </c>
      <c r="C23" s="1" t="n">
        <v>1222.3333</v>
      </c>
      <c r="D23" s="1" t="n">
        <v>187.0077</v>
      </c>
      <c r="E23" s="1" t="n">
        <v>6</v>
      </c>
    </row>
    <row r="24" customFormat="false" ht="14.65" hidden="false" customHeight="false" outlineLevel="0" collapsed="false">
      <c r="A24" s="1" t="s">
        <v>111</v>
      </c>
      <c r="B24" s="1" t="n">
        <v>1280</v>
      </c>
      <c r="C24" s="1" t="n">
        <v>1021</v>
      </c>
      <c r="D24" s="1" t="n">
        <v>335.27</v>
      </c>
      <c r="E24" s="1" t="n">
        <v>17</v>
      </c>
    </row>
    <row r="25" customFormat="false" ht="14.65" hidden="false" customHeight="false" outlineLevel="0" collapsed="false">
      <c r="A25" s="1" t="s">
        <v>111</v>
      </c>
      <c r="B25" s="1" t="n">
        <v>1520</v>
      </c>
      <c r="C25" s="1" t="n">
        <v>952.6444</v>
      </c>
      <c r="D25" s="1" t="n">
        <v>229.3897</v>
      </c>
      <c r="E25" s="1" t="n">
        <v>45</v>
      </c>
    </row>
    <row r="26" customFormat="false" ht="14.65" hidden="false" customHeight="false" outlineLevel="0" collapsed="false">
      <c r="A26" s="1" t="s">
        <v>111</v>
      </c>
      <c r="B26" s="1" t="n">
        <v>1600</v>
      </c>
      <c r="C26" s="1" t="n">
        <v>986.4791</v>
      </c>
      <c r="D26" s="1" t="n">
        <v>268.0262</v>
      </c>
      <c r="E26" s="1" t="n">
        <v>215</v>
      </c>
    </row>
    <row r="27" customFormat="false" ht="14.65" hidden="false" customHeight="false" outlineLevel="0" collapsed="false">
      <c r="A27" s="1" t="s">
        <v>111</v>
      </c>
      <c r="B27" s="1" t="n">
        <v>1640</v>
      </c>
      <c r="C27" s="1" t="n">
        <v>1003.3214</v>
      </c>
      <c r="D27" s="1" t="n">
        <v>252.1343</v>
      </c>
      <c r="E27" s="1" t="n">
        <v>56</v>
      </c>
    </row>
    <row r="28" customFormat="false" ht="14.65" hidden="false" customHeight="false" outlineLevel="0" collapsed="false">
      <c r="A28" s="1" t="s">
        <v>111</v>
      </c>
      <c r="B28" s="1" t="n">
        <v>1680</v>
      </c>
      <c r="C28" s="1" t="n">
        <v>946.0492</v>
      </c>
      <c r="D28" s="1" t="n">
        <v>263.271</v>
      </c>
      <c r="E28" s="1" t="n">
        <v>61</v>
      </c>
    </row>
    <row r="29" customFormat="false" ht="14.65" hidden="false" customHeight="false" outlineLevel="0" collapsed="false">
      <c r="A29" s="1" t="s">
        <v>111</v>
      </c>
      <c r="B29" s="1" t="n">
        <v>1840</v>
      </c>
      <c r="C29" s="1" t="n">
        <v>985.8545</v>
      </c>
      <c r="D29" s="1" t="n">
        <v>255.865</v>
      </c>
      <c r="E29" s="1" t="n">
        <v>55</v>
      </c>
    </row>
    <row r="30" customFormat="false" ht="14.65" hidden="false" customHeight="false" outlineLevel="0" collapsed="false">
      <c r="A30" s="1" t="s">
        <v>111</v>
      </c>
      <c r="B30" s="1" t="n">
        <v>1920</v>
      </c>
      <c r="C30" s="1" t="n">
        <v>1022.5</v>
      </c>
      <c r="D30" s="1" t="n">
        <v>261.9815</v>
      </c>
      <c r="E30" s="1" t="n">
        <v>88</v>
      </c>
    </row>
    <row r="31" customFormat="false" ht="14.65" hidden="false" customHeight="false" outlineLevel="0" collapsed="false">
      <c r="A31" s="1" t="s">
        <v>111</v>
      </c>
      <c r="B31" s="1" t="n">
        <v>1930</v>
      </c>
      <c r="C31" s="1" t="n">
        <v>978.6226</v>
      </c>
      <c r="D31" s="1" t="n">
        <v>252.6347</v>
      </c>
      <c r="E31" s="1" t="n">
        <v>53</v>
      </c>
    </row>
    <row r="32" customFormat="false" ht="14.65" hidden="false" customHeight="false" outlineLevel="0" collapsed="false">
      <c r="A32" s="1" t="s">
        <v>111</v>
      </c>
      <c r="B32" s="1" t="n">
        <v>2080</v>
      </c>
      <c r="C32" s="1" t="n">
        <v>982.6355</v>
      </c>
      <c r="D32" s="1" t="n">
        <v>266.9997</v>
      </c>
      <c r="E32" s="1" t="n">
        <v>107</v>
      </c>
    </row>
    <row r="33" customFormat="false" ht="14.65" hidden="false" customHeight="false" outlineLevel="0" collapsed="false">
      <c r="A33" s="1" t="s">
        <v>111</v>
      </c>
      <c r="B33" s="1" t="n">
        <v>2160</v>
      </c>
      <c r="C33" s="1" t="n">
        <v>947.3768</v>
      </c>
      <c r="D33" s="1" t="n">
        <v>252.4273</v>
      </c>
      <c r="E33" s="1" t="n">
        <v>138</v>
      </c>
    </row>
    <row r="34" customFormat="false" ht="14.65" hidden="false" customHeight="false" outlineLevel="0" collapsed="false">
      <c r="A34" s="1" t="s">
        <v>111</v>
      </c>
      <c r="B34" s="1" t="n">
        <v>2680</v>
      </c>
      <c r="C34" s="1" t="n">
        <v>999.1628</v>
      </c>
      <c r="D34" s="1" t="n">
        <v>256.5217</v>
      </c>
      <c r="E34" s="1" t="n">
        <v>43</v>
      </c>
    </row>
    <row r="35" customFormat="false" ht="14.65" hidden="false" customHeight="false" outlineLevel="0" collapsed="false">
      <c r="A35" s="1" t="s">
        <v>111</v>
      </c>
      <c r="B35" s="1" t="n">
        <v>2800</v>
      </c>
      <c r="C35" s="1" t="n">
        <v>956.2143</v>
      </c>
      <c r="D35" s="1" t="n">
        <v>261.9101</v>
      </c>
      <c r="E35" s="1" t="n">
        <v>42</v>
      </c>
    </row>
    <row r="36" customFormat="false" ht="14.65" hidden="false" customHeight="false" outlineLevel="0" collapsed="false">
      <c r="A36" s="1" t="s">
        <v>111</v>
      </c>
      <c r="B36" s="1" t="n">
        <v>2920</v>
      </c>
      <c r="C36" s="1" t="n">
        <v>1292.5</v>
      </c>
      <c r="D36" s="1" t="n">
        <v>59.8025</v>
      </c>
      <c r="E36" s="1" t="n">
        <v>4</v>
      </c>
    </row>
    <row r="37" customFormat="false" ht="14.65" hidden="false" customHeight="false" outlineLevel="0" collapsed="false">
      <c r="A37" s="1" t="s">
        <v>111</v>
      </c>
      <c r="B37" s="1" t="n">
        <v>2960</v>
      </c>
      <c r="C37" s="1" t="n">
        <v>935.2727</v>
      </c>
      <c r="D37" s="1" t="n">
        <v>300.1963</v>
      </c>
      <c r="E37" s="1" t="n">
        <v>11</v>
      </c>
    </row>
    <row r="38" customFormat="false" ht="14.65" hidden="false" customHeight="false" outlineLevel="0" collapsed="false">
      <c r="A38" s="1" t="s">
        <v>111</v>
      </c>
      <c r="B38" s="1" t="n">
        <v>3200</v>
      </c>
      <c r="C38" s="1" t="n">
        <v>827.5455</v>
      </c>
      <c r="D38" s="1" t="n">
        <v>265.636</v>
      </c>
      <c r="E38" s="1" t="n">
        <v>11</v>
      </c>
    </row>
    <row r="39" customFormat="false" ht="14.65" hidden="false" customHeight="false" outlineLevel="0" collapsed="false">
      <c r="A39" s="1" t="s">
        <v>111</v>
      </c>
      <c r="B39" s="1" t="n">
        <v>3280</v>
      </c>
      <c r="C39" s="1" t="n">
        <v>993.7756</v>
      </c>
      <c r="D39" s="1" t="n">
        <v>255.6979</v>
      </c>
      <c r="E39" s="1" t="n">
        <v>205</v>
      </c>
    </row>
    <row r="40" customFormat="false" ht="14.65" hidden="false" customHeight="false" outlineLevel="0" collapsed="false">
      <c r="A40" s="1" t="s">
        <v>111</v>
      </c>
      <c r="B40" s="1" t="n">
        <v>3360</v>
      </c>
      <c r="C40" s="1" t="n">
        <v>971.3154</v>
      </c>
      <c r="D40" s="1" t="n">
        <v>249.1455</v>
      </c>
      <c r="E40" s="1" t="n">
        <v>130</v>
      </c>
    </row>
    <row r="41" customFormat="false" ht="14.65" hidden="false" customHeight="false" outlineLevel="0" collapsed="false">
      <c r="A41" s="1" t="s">
        <v>111</v>
      </c>
      <c r="B41" s="1" t="n">
        <v>3480</v>
      </c>
      <c r="C41" s="1" t="n">
        <v>974.3848</v>
      </c>
      <c r="D41" s="1" t="n">
        <v>269.7395</v>
      </c>
      <c r="E41" s="1" t="n">
        <v>551</v>
      </c>
    </row>
    <row r="42" customFormat="false" ht="14.65" hidden="false" customHeight="false" outlineLevel="0" collapsed="false">
      <c r="A42" s="1" t="s">
        <v>111</v>
      </c>
      <c r="B42" s="1" t="n">
        <v>3640</v>
      </c>
      <c r="C42" s="1" t="n">
        <v>1117.3333</v>
      </c>
      <c r="D42" s="1" t="n">
        <v>239.644</v>
      </c>
      <c r="E42" s="1" t="n">
        <v>9</v>
      </c>
    </row>
    <row r="43" customFormat="false" ht="14.65" hidden="false" customHeight="false" outlineLevel="0" collapsed="false">
      <c r="A43" s="1" t="s">
        <v>111</v>
      </c>
      <c r="B43" s="1" t="n">
        <v>3690</v>
      </c>
      <c r="C43" s="1" t="n">
        <v>946.5</v>
      </c>
      <c r="D43" s="1" t="n">
        <v>267.2573</v>
      </c>
      <c r="E43" s="1" t="n">
        <v>22</v>
      </c>
    </row>
    <row r="44" customFormat="false" ht="14.65" hidden="false" customHeight="false" outlineLevel="0" collapsed="false">
      <c r="A44" s="1" t="s">
        <v>111</v>
      </c>
      <c r="B44" s="1" t="n">
        <v>3760</v>
      </c>
      <c r="C44" s="1" t="n">
        <v>893.2787</v>
      </c>
      <c r="D44" s="1" t="n">
        <v>238.1683</v>
      </c>
      <c r="E44" s="1" t="n">
        <v>61</v>
      </c>
    </row>
    <row r="45" customFormat="false" ht="14.65" hidden="false" customHeight="false" outlineLevel="0" collapsed="false">
      <c r="A45" s="1" t="s">
        <v>111</v>
      </c>
      <c r="B45" s="1" t="n">
        <v>3800</v>
      </c>
      <c r="C45" s="1" t="n">
        <v>1290</v>
      </c>
      <c r="D45" s="1" t="n">
        <v>212.132</v>
      </c>
      <c r="E45" s="1" t="n">
        <v>2</v>
      </c>
    </row>
    <row r="46" customFormat="false" ht="14.65" hidden="false" customHeight="false" outlineLevel="0" collapsed="false">
      <c r="A46" s="1" t="s">
        <v>111</v>
      </c>
      <c r="B46" s="1" t="n">
        <v>3965</v>
      </c>
      <c r="C46" s="1" t="n">
        <v>1064.4706</v>
      </c>
      <c r="D46" s="1" t="n">
        <v>249.4081</v>
      </c>
      <c r="E46" s="1" t="n">
        <v>34</v>
      </c>
    </row>
    <row r="47" customFormat="false" ht="14.65" hidden="false" customHeight="false" outlineLevel="0" collapsed="false">
      <c r="A47" s="1" t="s">
        <v>111</v>
      </c>
      <c r="B47" s="1" t="n">
        <v>4160</v>
      </c>
      <c r="C47" s="1" t="n">
        <v>877</v>
      </c>
      <c r="D47" s="1" t="n">
        <v>245.3698</v>
      </c>
      <c r="E47" s="1" t="n">
        <v>7</v>
      </c>
    </row>
    <row r="48" customFormat="false" ht="14.65" hidden="false" customHeight="false" outlineLevel="0" collapsed="false">
      <c r="A48" s="1" t="s">
        <v>111</v>
      </c>
      <c r="B48" s="1" t="n">
        <v>4440</v>
      </c>
      <c r="C48" s="1" t="n">
        <v>957.5556</v>
      </c>
      <c r="D48" s="1" t="n">
        <v>249.7114</v>
      </c>
      <c r="E48" s="1" t="n">
        <v>9</v>
      </c>
    </row>
    <row r="49" customFormat="false" ht="14.65" hidden="false" customHeight="false" outlineLevel="0" collapsed="false">
      <c r="A49" s="1" t="s">
        <v>111</v>
      </c>
      <c r="B49" s="1" t="n">
        <v>4480</v>
      </c>
      <c r="C49" s="1" t="n">
        <v>971.4964</v>
      </c>
      <c r="D49" s="1" t="n">
        <v>251.6438</v>
      </c>
      <c r="E49" s="1" t="n">
        <v>274</v>
      </c>
    </row>
    <row r="50" customFormat="false" ht="14.65" hidden="false" customHeight="false" outlineLevel="0" collapsed="false">
      <c r="A50" s="1" t="s">
        <v>111</v>
      </c>
      <c r="B50" s="1" t="n">
        <v>4560</v>
      </c>
      <c r="C50" s="1" t="n">
        <v>883.3333</v>
      </c>
      <c r="D50" s="1" t="n">
        <v>298.7788</v>
      </c>
      <c r="E50" s="1" t="n">
        <v>9</v>
      </c>
    </row>
    <row r="51" customFormat="false" ht="14.65" hidden="false" customHeight="false" outlineLevel="0" collapsed="false">
      <c r="A51" s="1" t="s">
        <v>111</v>
      </c>
      <c r="B51" s="1" t="n">
        <v>5000</v>
      </c>
      <c r="C51" s="1" t="n">
        <v>1017.1277</v>
      </c>
      <c r="D51" s="1" t="n">
        <v>247.8558</v>
      </c>
      <c r="E51" s="1" t="n">
        <v>47</v>
      </c>
    </row>
    <row r="52" customFormat="false" ht="14.65" hidden="false" customHeight="false" outlineLevel="0" collapsed="false">
      <c r="A52" s="1" t="s">
        <v>111</v>
      </c>
      <c r="B52" s="1" t="n">
        <v>5015</v>
      </c>
      <c r="C52" s="1" t="n">
        <v>1001.8065</v>
      </c>
      <c r="D52" s="1" t="n">
        <v>298.6967</v>
      </c>
      <c r="E52" s="1" t="n">
        <v>31</v>
      </c>
    </row>
    <row r="53" customFormat="false" ht="14.65" hidden="false" customHeight="false" outlineLevel="0" collapsed="false">
      <c r="A53" s="1" t="s">
        <v>111</v>
      </c>
      <c r="B53" s="1" t="n">
        <v>5020</v>
      </c>
      <c r="C53" s="1" t="n">
        <v>1036</v>
      </c>
      <c r="D53" s="1" t="n">
        <v>229.1097</v>
      </c>
      <c r="E53" s="1" t="n">
        <v>12</v>
      </c>
    </row>
    <row r="54" customFormat="false" ht="14.65" hidden="false" customHeight="false" outlineLevel="0" collapsed="false">
      <c r="A54" s="1" t="s">
        <v>111</v>
      </c>
      <c r="B54" s="1" t="n">
        <v>5080</v>
      </c>
      <c r="C54" s="1" t="n">
        <v>977.6667</v>
      </c>
      <c r="D54" s="1" t="n">
        <v>255.1119</v>
      </c>
      <c r="E54" s="1" t="n">
        <v>42</v>
      </c>
    </row>
    <row r="55" customFormat="false" ht="14.65" hidden="false" customHeight="false" outlineLevel="0" collapsed="false">
      <c r="A55" s="1" t="s">
        <v>111</v>
      </c>
      <c r="B55" s="1" t="n">
        <v>5120</v>
      </c>
      <c r="C55" s="1" t="n">
        <v>977.4835</v>
      </c>
      <c r="D55" s="1" t="n">
        <v>284.9838</v>
      </c>
      <c r="E55" s="1" t="n">
        <v>91</v>
      </c>
    </row>
    <row r="56" customFormat="false" ht="14.65" hidden="false" customHeight="false" outlineLevel="0" collapsed="false">
      <c r="A56" s="1" t="s">
        <v>111</v>
      </c>
      <c r="B56" s="1" t="n">
        <v>5190</v>
      </c>
      <c r="C56" s="1" t="n">
        <v>981.6471</v>
      </c>
      <c r="D56" s="1" t="n">
        <v>265.4645</v>
      </c>
      <c r="E56" s="1" t="n">
        <v>51</v>
      </c>
    </row>
    <row r="57" customFormat="false" ht="14.65" hidden="false" customHeight="false" outlineLevel="0" collapsed="false">
      <c r="A57" s="1" t="s">
        <v>111</v>
      </c>
      <c r="B57" s="1" t="n">
        <v>5350</v>
      </c>
      <c r="C57" s="1" t="n">
        <v>725</v>
      </c>
      <c r="D57" s="1" t="n">
        <v>311.127</v>
      </c>
      <c r="E57" s="1" t="n">
        <v>2</v>
      </c>
    </row>
    <row r="58" customFormat="false" ht="14.65" hidden="false" customHeight="false" outlineLevel="0" collapsed="false">
      <c r="A58" s="1" t="s">
        <v>111</v>
      </c>
      <c r="B58" s="1" t="n">
        <v>5380</v>
      </c>
      <c r="C58" s="1" t="n">
        <v>996.0034</v>
      </c>
      <c r="D58" s="1" t="n">
        <v>252.5022</v>
      </c>
      <c r="E58" s="1" t="n">
        <v>295</v>
      </c>
    </row>
    <row r="59" customFormat="false" ht="14.65" hidden="false" customHeight="false" outlineLevel="0" collapsed="false">
      <c r="A59" s="1" t="s">
        <v>111</v>
      </c>
      <c r="B59" s="1" t="n">
        <v>5440</v>
      </c>
      <c r="C59" s="1" t="n">
        <v>984.9455</v>
      </c>
      <c r="D59" s="1" t="n">
        <v>245.0383</v>
      </c>
      <c r="E59" s="1" t="n">
        <v>55</v>
      </c>
    </row>
    <row r="60" customFormat="false" ht="14.65" hidden="false" customHeight="false" outlineLevel="0" collapsed="false">
      <c r="A60" s="1" t="s">
        <v>111</v>
      </c>
      <c r="B60" s="1" t="n">
        <v>5560</v>
      </c>
      <c r="C60" s="1" t="n">
        <v>1000.2703</v>
      </c>
      <c r="D60" s="1" t="n">
        <v>253.176</v>
      </c>
      <c r="E60" s="1" t="n">
        <v>37</v>
      </c>
    </row>
    <row r="61" customFormat="false" ht="14.65" hidden="false" customHeight="false" outlineLevel="0" collapsed="false">
      <c r="A61" s="1" t="s">
        <v>111</v>
      </c>
      <c r="B61" s="1" t="n">
        <v>5600</v>
      </c>
      <c r="C61" s="1" t="n">
        <v>958.2222</v>
      </c>
      <c r="D61" s="1" t="n">
        <v>258.111</v>
      </c>
      <c r="E61" s="1" t="n">
        <v>396</v>
      </c>
    </row>
    <row r="62" customFormat="false" ht="14.65" hidden="false" customHeight="false" outlineLevel="0" collapsed="false">
      <c r="A62" s="1" t="s">
        <v>111</v>
      </c>
      <c r="B62" s="1" t="n">
        <v>5640</v>
      </c>
      <c r="C62" s="1" t="n">
        <v>942.0694</v>
      </c>
      <c r="D62" s="1" t="n">
        <v>239.479</v>
      </c>
      <c r="E62" s="1" t="n">
        <v>72</v>
      </c>
    </row>
    <row r="63" customFormat="false" ht="14.65" hidden="false" customHeight="false" outlineLevel="0" collapsed="false">
      <c r="A63" s="1" t="s">
        <v>111</v>
      </c>
      <c r="B63" s="1" t="n">
        <v>5700</v>
      </c>
      <c r="C63" s="1" t="n">
        <v>1104.5714</v>
      </c>
      <c r="D63" s="1" t="n">
        <v>307.2506</v>
      </c>
      <c r="E63" s="1" t="n">
        <v>7</v>
      </c>
    </row>
    <row r="64" customFormat="false" ht="14.65" hidden="false" customHeight="false" outlineLevel="0" collapsed="false">
      <c r="A64" s="1" t="s">
        <v>111</v>
      </c>
      <c r="B64" s="1" t="n">
        <v>5720</v>
      </c>
      <c r="C64" s="1" t="n">
        <v>935.3684</v>
      </c>
      <c r="D64" s="1" t="n">
        <v>253.5872</v>
      </c>
      <c r="E64" s="1" t="n">
        <v>57</v>
      </c>
    </row>
    <row r="65" customFormat="false" ht="14.65" hidden="false" customHeight="false" outlineLevel="0" collapsed="false">
      <c r="A65" s="1" t="s">
        <v>111</v>
      </c>
      <c r="B65" s="1" t="n">
        <v>5760</v>
      </c>
      <c r="C65" s="1" t="n">
        <v>996.9024</v>
      </c>
      <c r="D65" s="1" t="n">
        <v>252.4465</v>
      </c>
      <c r="E65" s="1" t="n">
        <v>41</v>
      </c>
    </row>
    <row r="66" customFormat="false" ht="14.65" hidden="false" customHeight="false" outlineLevel="0" collapsed="false">
      <c r="A66" s="1" t="s">
        <v>111</v>
      </c>
      <c r="B66" s="1" t="n">
        <v>5775</v>
      </c>
      <c r="C66" s="1" t="n">
        <v>990.3333</v>
      </c>
      <c r="D66" s="1" t="n">
        <v>274.6864</v>
      </c>
      <c r="E66" s="1" t="n">
        <v>78</v>
      </c>
    </row>
    <row r="67" customFormat="false" ht="14.65" hidden="false" customHeight="false" outlineLevel="0" collapsed="false">
      <c r="A67" s="1" t="s">
        <v>111</v>
      </c>
      <c r="B67" s="1" t="n">
        <v>5950</v>
      </c>
      <c r="C67" s="1" t="n">
        <v>986.9048</v>
      </c>
      <c r="D67" s="1" t="n">
        <v>247.5558</v>
      </c>
      <c r="E67" s="1" t="n">
        <v>21</v>
      </c>
    </row>
    <row r="68" customFormat="false" ht="14.65" hidden="false" customHeight="false" outlineLevel="0" collapsed="false">
      <c r="A68" s="1" t="s">
        <v>111</v>
      </c>
      <c r="B68" s="1" t="n">
        <v>5960</v>
      </c>
      <c r="C68" s="1" t="n">
        <v>1014.7907</v>
      </c>
      <c r="D68" s="1" t="n">
        <v>245.952</v>
      </c>
      <c r="E68" s="1" t="n">
        <v>43</v>
      </c>
    </row>
    <row r="69" customFormat="false" ht="14.65" hidden="false" customHeight="false" outlineLevel="0" collapsed="false">
      <c r="A69" s="1" t="s">
        <v>111</v>
      </c>
      <c r="B69" s="1" t="n">
        <v>6000</v>
      </c>
      <c r="C69" s="1" t="n">
        <v>895.8261</v>
      </c>
      <c r="D69" s="1" t="n">
        <v>225.3594</v>
      </c>
      <c r="E69" s="1" t="n">
        <v>23</v>
      </c>
    </row>
    <row r="70" customFormat="false" ht="14.65" hidden="false" customHeight="false" outlineLevel="0" collapsed="false">
      <c r="A70" s="1" t="s">
        <v>111</v>
      </c>
      <c r="B70" s="1" t="n">
        <v>6060</v>
      </c>
      <c r="C70" s="1" t="n">
        <v>1055.8333</v>
      </c>
      <c r="D70" s="1" t="n">
        <v>328.9629</v>
      </c>
      <c r="E70" s="1" t="n">
        <v>6</v>
      </c>
    </row>
    <row r="71" customFormat="false" ht="14.65" hidden="false" customHeight="false" outlineLevel="0" collapsed="false">
      <c r="A71" s="1" t="s">
        <v>111</v>
      </c>
      <c r="B71" s="1" t="n">
        <v>6160</v>
      </c>
      <c r="C71" s="1" t="n">
        <v>985.6287</v>
      </c>
      <c r="D71" s="1" t="n">
        <v>260.1913</v>
      </c>
      <c r="E71" s="1" t="n">
        <v>167</v>
      </c>
    </row>
    <row r="72" customFormat="false" ht="14.65" hidden="false" customHeight="false" outlineLevel="0" collapsed="false">
      <c r="A72" s="1" t="s">
        <v>111</v>
      </c>
      <c r="B72" s="1" t="n">
        <v>6200</v>
      </c>
      <c r="C72" s="1" t="n">
        <v>1008.5444</v>
      </c>
      <c r="D72" s="1" t="n">
        <v>257.0869</v>
      </c>
      <c r="E72" s="1" t="n">
        <v>90</v>
      </c>
    </row>
    <row r="73" customFormat="false" ht="14.65" hidden="false" customHeight="false" outlineLevel="0" collapsed="false">
      <c r="A73" s="1" t="s">
        <v>111</v>
      </c>
      <c r="B73" s="1" t="n">
        <v>6280</v>
      </c>
      <c r="C73" s="1" t="n">
        <v>1066.2785</v>
      </c>
      <c r="D73" s="1" t="n">
        <v>243.1531</v>
      </c>
      <c r="E73" s="1" t="n">
        <v>79</v>
      </c>
    </row>
    <row r="74" customFormat="false" ht="14.65" hidden="false" customHeight="false" outlineLevel="0" collapsed="false">
      <c r="A74" s="1" t="s">
        <v>111</v>
      </c>
      <c r="B74" s="1" t="n">
        <v>6440</v>
      </c>
      <c r="C74" s="1" t="n">
        <v>1013.8864</v>
      </c>
      <c r="D74" s="1" t="n">
        <v>267.629</v>
      </c>
      <c r="E74" s="1" t="n">
        <v>44</v>
      </c>
    </row>
    <row r="75" customFormat="false" ht="14.65" hidden="false" customHeight="false" outlineLevel="0" collapsed="false">
      <c r="A75" s="1" t="s">
        <v>111</v>
      </c>
      <c r="B75" s="1" t="n">
        <v>6480</v>
      </c>
      <c r="C75" s="1" t="n">
        <v>1055.0417</v>
      </c>
      <c r="D75" s="1" t="n">
        <v>218.5031</v>
      </c>
      <c r="E75" s="1" t="n">
        <v>24</v>
      </c>
    </row>
    <row r="76" customFormat="false" ht="14.65" hidden="false" customHeight="false" outlineLevel="0" collapsed="false">
      <c r="A76" s="1" t="s">
        <v>111</v>
      </c>
      <c r="B76" s="1" t="n">
        <v>6600</v>
      </c>
      <c r="C76" s="1" t="n">
        <v>865</v>
      </c>
      <c r="D76" s="1" t="n">
        <v>0</v>
      </c>
      <c r="E76" s="1" t="n">
        <v>1</v>
      </c>
    </row>
    <row r="77" customFormat="false" ht="14.65" hidden="false" customHeight="false" outlineLevel="0" collapsed="false">
      <c r="A77" s="1" t="s">
        <v>111</v>
      </c>
      <c r="B77" s="1" t="n">
        <v>6780</v>
      </c>
      <c r="C77" s="1" t="n">
        <v>970.6154</v>
      </c>
      <c r="D77" s="1" t="n">
        <v>260.9466</v>
      </c>
      <c r="E77" s="1" t="n">
        <v>91</v>
      </c>
    </row>
    <row r="78" customFormat="false" ht="14.65" hidden="false" customHeight="false" outlineLevel="0" collapsed="false">
      <c r="A78" s="1" t="s">
        <v>111</v>
      </c>
      <c r="B78" s="1" t="n">
        <v>6840</v>
      </c>
      <c r="C78" s="1" t="n">
        <v>925.5833</v>
      </c>
      <c r="D78" s="1" t="n">
        <v>188.1103</v>
      </c>
      <c r="E78" s="1" t="n">
        <v>24</v>
      </c>
    </row>
    <row r="79" customFormat="false" ht="14.65" hidden="false" customHeight="false" outlineLevel="0" collapsed="false">
      <c r="A79" s="1" t="s">
        <v>111</v>
      </c>
      <c r="B79" s="1" t="n">
        <v>6920</v>
      </c>
      <c r="C79" s="1" t="n">
        <v>1026.9583</v>
      </c>
      <c r="D79" s="1" t="n">
        <v>301.8961</v>
      </c>
      <c r="E79" s="1" t="n">
        <v>48</v>
      </c>
    </row>
    <row r="80" customFormat="false" ht="14.65" hidden="false" customHeight="false" outlineLevel="0" collapsed="false">
      <c r="A80" s="1" t="s">
        <v>111</v>
      </c>
      <c r="B80" s="1" t="n">
        <v>7040</v>
      </c>
      <c r="C80" s="1" t="n">
        <v>973.7024</v>
      </c>
      <c r="D80" s="1" t="n">
        <v>245.0349</v>
      </c>
      <c r="E80" s="1" t="n">
        <v>84</v>
      </c>
    </row>
    <row r="81" customFormat="false" ht="14.65" hidden="false" customHeight="false" outlineLevel="0" collapsed="false">
      <c r="A81" s="1" t="s">
        <v>111</v>
      </c>
      <c r="B81" s="1" t="n">
        <v>7090</v>
      </c>
      <c r="C81" s="1" t="n">
        <v>844.2</v>
      </c>
      <c r="D81" s="1" t="n">
        <v>231.2472</v>
      </c>
      <c r="E81" s="1" t="n">
        <v>10</v>
      </c>
    </row>
    <row r="82" customFormat="false" ht="14.65" hidden="false" customHeight="false" outlineLevel="0" collapsed="false">
      <c r="A82" s="1" t="s">
        <v>111</v>
      </c>
      <c r="B82" s="1" t="n">
        <v>7160</v>
      </c>
      <c r="C82" s="1" t="n">
        <v>953.9333</v>
      </c>
      <c r="D82" s="1" t="n">
        <v>214.993</v>
      </c>
      <c r="E82" s="1" t="n">
        <v>30</v>
      </c>
    </row>
    <row r="83" customFormat="false" ht="14.65" hidden="false" customHeight="false" outlineLevel="0" collapsed="false">
      <c r="A83" s="1" t="s">
        <v>111</v>
      </c>
      <c r="B83" s="1" t="n">
        <v>7240</v>
      </c>
      <c r="C83" s="1" t="n">
        <v>1067.1333</v>
      </c>
      <c r="D83" s="1" t="n">
        <v>250.9664</v>
      </c>
      <c r="E83" s="1" t="n">
        <v>60</v>
      </c>
    </row>
    <row r="84" customFormat="false" ht="14.65" hidden="false" customHeight="false" outlineLevel="0" collapsed="false">
      <c r="A84" s="1" t="s">
        <v>111</v>
      </c>
      <c r="B84" s="1" t="n">
        <v>7320</v>
      </c>
      <c r="C84" s="1" t="n">
        <v>992.5821</v>
      </c>
      <c r="D84" s="1" t="n">
        <v>254.0884</v>
      </c>
      <c r="E84" s="1" t="n">
        <v>134</v>
      </c>
    </row>
    <row r="85" customFormat="false" ht="14.65" hidden="false" customHeight="false" outlineLevel="0" collapsed="false">
      <c r="A85" s="1" t="s">
        <v>111</v>
      </c>
      <c r="B85" s="1" t="n">
        <v>7360</v>
      </c>
      <c r="C85" s="1" t="n">
        <v>1103.32</v>
      </c>
      <c r="D85" s="1" t="n">
        <v>269.4437</v>
      </c>
      <c r="E85" s="1" t="n">
        <v>50</v>
      </c>
    </row>
    <row r="86" customFormat="false" ht="14.65" hidden="false" customHeight="false" outlineLevel="0" collapsed="false">
      <c r="A86" s="1" t="s">
        <v>111</v>
      </c>
      <c r="B86" s="1" t="n">
        <v>7400</v>
      </c>
      <c r="C86" s="1" t="n">
        <v>996.2222</v>
      </c>
      <c r="D86" s="1" t="n">
        <v>238.9737</v>
      </c>
      <c r="E86" s="1" t="n">
        <v>45</v>
      </c>
    </row>
    <row r="87" customFormat="false" ht="14.65" hidden="false" customHeight="false" outlineLevel="0" collapsed="false">
      <c r="A87" s="1" t="s">
        <v>111</v>
      </c>
      <c r="B87" s="1" t="n">
        <v>7485</v>
      </c>
      <c r="C87" s="1" t="n">
        <v>1041.25</v>
      </c>
      <c r="D87" s="1" t="n">
        <v>288.2057</v>
      </c>
      <c r="E87" s="1" t="n">
        <v>8</v>
      </c>
    </row>
    <row r="88" customFormat="false" ht="14.65" hidden="false" customHeight="false" outlineLevel="0" collapsed="false">
      <c r="A88" s="1" t="s">
        <v>111</v>
      </c>
      <c r="B88" s="1" t="n">
        <v>7500</v>
      </c>
      <c r="C88" s="1" t="n">
        <v>1022.5</v>
      </c>
      <c r="D88" s="1" t="n">
        <v>304.2518</v>
      </c>
      <c r="E88" s="1" t="n">
        <v>12</v>
      </c>
    </row>
    <row r="89" customFormat="false" ht="14.65" hidden="false" customHeight="false" outlineLevel="0" collapsed="false">
      <c r="A89" s="1" t="s">
        <v>111</v>
      </c>
      <c r="B89" s="1" t="n">
        <v>7600</v>
      </c>
      <c r="C89" s="1" t="n">
        <v>983.7013</v>
      </c>
      <c r="D89" s="1" t="n">
        <v>266.2349</v>
      </c>
      <c r="E89" s="1" t="n">
        <v>77</v>
      </c>
    </row>
    <row r="90" customFormat="false" ht="14.65" hidden="false" customHeight="false" outlineLevel="0" collapsed="false">
      <c r="A90" s="1" t="s">
        <v>111</v>
      </c>
      <c r="B90" s="1" t="n">
        <v>8040</v>
      </c>
      <c r="C90" s="1" t="n">
        <v>961.92</v>
      </c>
      <c r="D90" s="1" t="n">
        <v>270.939</v>
      </c>
      <c r="E90" s="1" t="n">
        <v>75</v>
      </c>
    </row>
    <row r="91" customFormat="false" ht="14.65" hidden="false" customHeight="false" outlineLevel="0" collapsed="false">
      <c r="A91" s="1" t="s">
        <v>111</v>
      </c>
      <c r="B91" s="1" t="n">
        <v>8200</v>
      </c>
      <c r="C91" s="1" t="n">
        <v>897.0952</v>
      </c>
      <c r="D91" s="1" t="n">
        <v>234.9006</v>
      </c>
      <c r="E91" s="1" t="n">
        <v>21</v>
      </c>
    </row>
    <row r="92" customFormat="false" ht="14.65" hidden="false" customHeight="false" outlineLevel="0" collapsed="false">
      <c r="A92" s="1" t="s">
        <v>111</v>
      </c>
      <c r="B92" s="1" t="n">
        <v>8280</v>
      </c>
      <c r="C92" s="1" t="n">
        <v>948.8143</v>
      </c>
      <c r="D92" s="1" t="n">
        <v>254.9925</v>
      </c>
      <c r="E92" s="1" t="n">
        <v>70</v>
      </c>
    </row>
    <row r="93" customFormat="false" ht="14.65" hidden="false" customHeight="false" outlineLevel="0" collapsed="false">
      <c r="A93" s="1" t="s">
        <v>111</v>
      </c>
      <c r="B93" s="1" t="n">
        <v>8480</v>
      </c>
      <c r="C93" s="1" t="n">
        <v>1020.1429</v>
      </c>
      <c r="D93" s="1" t="n">
        <v>305.0692</v>
      </c>
      <c r="E93" s="1" t="n">
        <v>14</v>
      </c>
    </row>
    <row r="94" customFormat="false" ht="14.65" hidden="false" customHeight="false" outlineLevel="0" collapsed="false">
      <c r="A94" s="1" t="s">
        <v>111</v>
      </c>
      <c r="B94" s="1" t="n">
        <v>8720</v>
      </c>
      <c r="C94" s="1" t="n">
        <v>1038.5294</v>
      </c>
      <c r="D94" s="1" t="n">
        <v>300.7842</v>
      </c>
      <c r="E94" s="1" t="n">
        <v>17</v>
      </c>
    </row>
    <row r="95" customFormat="false" ht="14.65" hidden="false" customHeight="false" outlineLevel="0" collapsed="false">
      <c r="A95" s="1" t="s">
        <v>111</v>
      </c>
      <c r="B95" s="1" t="n">
        <v>8725</v>
      </c>
      <c r="C95" s="1" t="n">
        <v>992</v>
      </c>
      <c r="D95" s="1" t="n">
        <v>218.2201</v>
      </c>
      <c r="E95" s="1" t="n">
        <v>5</v>
      </c>
    </row>
    <row r="96" customFormat="false" ht="14.65" hidden="false" customHeight="false" outlineLevel="0" collapsed="false">
      <c r="A96" s="1" t="s">
        <v>111</v>
      </c>
      <c r="B96" s="1" t="n">
        <v>8760</v>
      </c>
      <c r="C96" s="1" t="n">
        <v>1051.6667</v>
      </c>
      <c r="D96" s="1" t="n">
        <v>176.0918</v>
      </c>
      <c r="E96" s="1" t="n">
        <v>3</v>
      </c>
    </row>
    <row r="97" customFormat="false" ht="14.65" hidden="false" customHeight="false" outlineLevel="0" collapsed="false">
      <c r="A97" s="1" t="s">
        <v>111</v>
      </c>
      <c r="B97" s="1" t="n">
        <v>8840</v>
      </c>
      <c r="C97" s="1" t="n">
        <v>938.5761</v>
      </c>
      <c r="D97" s="1" t="n">
        <v>262.5124</v>
      </c>
      <c r="E97" s="1" t="n">
        <v>184</v>
      </c>
    </row>
    <row r="98" customFormat="false" ht="14.65" hidden="false" customHeight="false" outlineLevel="0" collapsed="false">
      <c r="A98" s="1" t="s">
        <v>111</v>
      </c>
      <c r="B98" s="1" t="n">
        <v>9160</v>
      </c>
      <c r="C98" s="1" t="n">
        <v>964</v>
      </c>
      <c r="D98" s="1" t="n">
        <v>238.9557</v>
      </c>
      <c r="E98" s="1" t="n">
        <v>14</v>
      </c>
    </row>
    <row r="100" customFormat="false" ht="14.65" hidden="false" customHeight="false" outlineLevel="0" collapsed="false">
      <c r="B100" s="1" t="s">
        <v>14</v>
      </c>
      <c r="C100" s="1" t="s">
        <v>15</v>
      </c>
      <c r="D100" s="1" t="s">
        <v>16</v>
      </c>
      <c r="E100" s="1" t="n">
        <v>8159</v>
      </c>
    </row>
    <row r="101" customFormat="false" ht="14.65" hidden="false" customHeight="false" outlineLevel="0" collapsed="false">
      <c r="A101" s="1" t="s">
        <v>112</v>
      </c>
      <c r="B101" s="1" t="s">
        <v>15</v>
      </c>
      <c r="C101" s="1" t="s">
        <v>16</v>
      </c>
      <c r="D101" s="1" t="n">
        <v>2339</v>
      </c>
      <c r="E101" s="1" t="s">
        <v>113</v>
      </c>
      <c r="F101" s="1" t="n">
        <v>28.7</v>
      </c>
      <c r="G101" s="1" t="s">
        <v>114</v>
      </c>
    </row>
    <row r="102" customFormat="false" ht="14.65" hidden="false" customHeight="false" outlineLevel="0" collapsed="false">
      <c r="A102" s="1" t="s">
        <v>17</v>
      </c>
    </row>
    <row r="103" customFormat="false" ht="14.65" hidden="false" customHeight="false" outlineLevel="0" collapsed="false">
      <c r="A103" s="1" t="s">
        <v>18</v>
      </c>
      <c r="B103" s="1" t="n">
        <v>38</v>
      </c>
      <c r="C103" s="1" t="s">
        <v>19</v>
      </c>
      <c r="D103" s="2" t="n">
        <v>33957</v>
      </c>
    </row>
    <row r="105" customFormat="false" ht="14.65" hidden="false" customHeight="false" outlineLevel="0" collapsed="false">
      <c r="A105" s="1" t="s">
        <v>0</v>
      </c>
      <c r="B105" s="1" t="s">
        <v>1</v>
      </c>
      <c r="C105" s="1" t="s">
        <v>20</v>
      </c>
    </row>
    <row r="106" customFormat="false" ht="14.65" hidden="false" customHeight="false" outlineLevel="0" collapsed="false">
      <c r="A106" s="1" t="s">
        <v>3</v>
      </c>
      <c r="B106" s="1" t="s">
        <v>4</v>
      </c>
      <c r="C106" s="1" t="s">
        <v>1</v>
      </c>
      <c r="D106" s="1" t="s">
        <v>111</v>
      </c>
    </row>
    <row r="108" customFormat="false" ht="14.65" hidden="false" customHeight="false" outlineLevel="0" collapsed="false">
      <c r="A108" s="1" t="s">
        <v>6</v>
      </c>
      <c r="B108" s="1" t="s">
        <v>7</v>
      </c>
      <c r="C108" s="1" t="s">
        <v>48</v>
      </c>
      <c r="D108" s="1" t="s">
        <v>8</v>
      </c>
      <c r="E108" s="1" t="s">
        <v>49</v>
      </c>
      <c r="F108" s="1" t="s">
        <v>50</v>
      </c>
      <c r="G108" s="1" t="s">
        <v>15</v>
      </c>
    </row>
    <row r="110" customFormat="false" ht="14.65" hidden="false" customHeight="false" outlineLevel="0" collapsed="false">
      <c r="A110" s="1" t="s">
        <v>12</v>
      </c>
      <c r="B110" s="1" t="s">
        <v>13</v>
      </c>
      <c r="C110" s="1" t="s">
        <v>84</v>
      </c>
      <c r="D110" s="1" t="n">
        <v>264.7096</v>
      </c>
      <c r="E110" s="1" t="n">
        <v>272.1129</v>
      </c>
      <c r="F110" s="1" t="n">
        <v>5820</v>
      </c>
    </row>
    <row r="112" customFormat="false" ht="14.65" hidden="false" customHeight="false" outlineLevel="0" collapsed="false">
      <c r="A112" s="1" t="s">
        <v>111</v>
      </c>
      <c r="B112" s="1" t="n">
        <v>80</v>
      </c>
      <c r="C112" s="1" t="n">
        <v>243.619</v>
      </c>
      <c r="D112" s="1" t="n">
        <v>275.6939</v>
      </c>
      <c r="E112" s="1" t="n">
        <v>21</v>
      </c>
    </row>
    <row r="113" customFormat="false" ht="14.65" hidden="false" customHeight="false" outlineLevel="0" collapsed="false">
      <c r="A113" s="1" t="s">
        <v>111</v>
      </c>
      <c r="B113" s="1" t="n">
        <v>360</v>
      </c>
      <c r="C113" s="1" t="n">
        <v>291.8584</v>
      </c>
      <c r="D113" s="1" t="n">
        <v>287.1465</v>
      </c>
      <c r="E113" s="1" t="n">
        <v>113</v>
      </c>
    </row>
    <row r="114" customFormat="false" ht="14.65" hidden="false" customHeight="false" outlineLevel="0" collapsed="false">
      <c r="A114" s="1" t="s">
        <v>111</v>
      </c>
      <c r="B114" s="1" t="n">
        <v>440</v>
      </c>
      <c r="C114" s="1" t="n">
        <v>185.4444</v>
      </c>
      <c r="D114" s="1" t="n">
        <v>266.3452</v>
      </c>
      <c r="E114" s="1" t="n">
        <v>18</v>
      </c>
    </row>
    <row r="115" customFormat="false" ht="14.65" hidden="false" customHeight="false" outlineLevel="0" collapsed="false">
      <c r="A115" s="1" t="s">
        <v>111</v>
      </c>
      <c r="B115" s="1" t="n">
        <v>520</v>
      </c>
      <c r="C115" s="1" t="n">
        <v>284.9406</v>
      </c>
      <c r="D115" s="1" t="n">
        <v>269.3373</v>
      </c>
      <c r="E115" s="1" t="n">
        <v>101</v>
      </c>
    </row>
    <row r="116" customFormat="false" ht="14.65" hidden="false" customHeight="false" outlineLevel="0" collapsed="false">
      <c r="A116" s="1" t="s">
        <v>111</v>
      </c>
      <c r="B116" s="1" t="n">
        <v>620</v>
      </c>
      <c r="C116" s="1" t="n">
        <v>336.8</v>
      </c>
      <c r="D116" s="1" t="n">
        <v>296.4464</v>
      </c>
      <c r="E116" s="1" t="n">
        <v>15</v>
      </c>
    </row>
    <row r="117" customFormat="false" ht="14.65" hidden="false" customHeight="false" outlineLevel="0" collapsed="false">
      <c r="A117" s="1" t="s">
        <v>111</v>
      </c>
      <c r="B117" s="1" t="n">
        <v>720</v>
      </c>
      <c r="C117" s="1" t="n">
        <v>298.3837</v>
      </c>
      <c r="D117" s="1" t="n">
        <v>260.2933</v>
      </c>
      <c r="E117" s="1" t="n">
        <v>86</v>
      </c>
    </row>
    <row r="118" customFormat="false" ht="14.65" hidden="false" customHeight="false" outlineLevel="0" collapsed="false">
      <c r="A118" s="1" t="s">
        <v>111</v>
      </c>
      <c r="B118" s="1" t="n">
        <v>845</v>
      </c>
      <c r="C118" s="1" t="n">
        <v>370.4286</v>
      </c>
      <c r="D118" s="1" t="n">
        <v>185.4444</v>
      </c>
      <c r="E118" s="1" t="n">
        <v>7</v>
      </c>
    </row>
    <row r="119" customFormat="false" ht="14.65" hidden="false" customHeight="false" outlineLevel="0" collapsed="false">
      <c r="A119" s="1" t="s">
        <v>111</v>
      </c>
      <c r="B119" s="1" t="n">
        <v>875</v>
      </c>
      <c r="C119" s="1" t="n">
        <v>231.0492</v>
      </c>
      <c r="D119" s="1" t="n">
        <v>270.5838</v>
      </c>
      <c r="E119" s="1" t="n">
        <v>61</v>
      </c>
    </row>
    <row r="120" customFormat="false" ht="14.65" hidden="false" customHeight="false" outlineLevel="0" collapsed="false">
      <c r="A120" s="1" t="s">
        <v>111</v>
      </c>
      <c r="B120" s="1" t="n">
        <v>1120</v>
      </c>
      <c r="C120" s="1" t="n">
        <v>253.2152</v>
      </c>
      <c r="D120" s="1" t="n">
        <v>269.3639</v>
      </c>
      <c r="E120" s="1" t="n">
        <v>79</v>
      </c>
    </row>
    <row r="121" customFormat="false" ht="14.65" hidden="false" customHeight="false" outlineLevel="0" collapsed="false">
      <c r="A121" s="1" t="s">
        <v>111</v>
      </c>
      <c r="B121" s="1" t="n">
        <v>1125</v>
      </c>
      <c r="C121" s="1" t="n">
        <v>445.8</v>
      </c>
      <c r="D121" s="1" t="n">
        <v>322.4332</v>
      </c>
      <c r="E121" s="1" t="n">
        <v>5</v>
      </c>
    </row>
    <row r="122" customFormat="false" ht="14.65" hidden="false" customHeight="false" outlineLevel="0" collapsed="false">
      <c r="A122" s="1" t="s">
        <v>111</v>
      </c>
      <c r="B122" s="1" t="n">
        <v>1160</v>
      </c>
      <c r="C122" s="1" t="n">
        <v>235.7652</v>
      </c>
      <c r="D122" s="1" t="n">
        <v>261.18</v>
      </c>
      <c r="E122" s="1" t="n">
        <v>132</v>
      </c>
    </row>
    <row r="123" customFormat="false" ht="14.65" hidden="false" customHeight="false" outlineLevel="0" collapsed="false">
      <c r="A123" s="1" t="s">
        <v>111</v>
      </c>
      <c r="B123" s="1" t="n">
        <v>1170</v>
      </c>
      <c r="C123" s="1" t="n">
        <v>174.2759</v>
      </c>
      <c r="D123" s="1" t="n">
        <v>247.4244</v>
      </c>
      <c r="E123" s="1" t="n">
        <v>29</v>
      </c>
    </row>
    <row r="124" customFormat="false" ht="14.65" hidden="false" customHeight="false" outlineLevel="0" collapsed="false">
      <c r="A124" s="1" t="s">
        <v>111</v>
      </c>
      <c r="B124" s="1" t="n">
        <v>1200</v>
      </c>
      <c r="C124" s="1" t="n">
        <v>154.3333</v>
      </c>
      <c r="D124" s="1" t="n">
        <v>207.4152</v>
      </c>
      <c r="E124" s="1" t="n">
        <v>6</v>
      </c>
    </row>
    <row r="125" customFormat="false" ht="14.65" hidden="false" customHeight="false" outlineLevel="0" collapsed="false">
      <c r="A125" s="1" t="s">
        <v>111</v>
      </c>
      <c r="B125" s="1" t="n">
        <v>1280</v>
      </c>
      <c r="C125" s="1" t="n">
        <v>262.3529</v>
      </c>
      <c r="D125" s="1" t="n">
        <v>287.2832</v>
      </c>
      <c r="E125" s="1" t="n">
        <v>17</v>
      </c>
    </row>
    <row r="126" customFormat="false" ht="14.65" hidden="false" customHeight="false" outlineLevel="0" collapsed="false">
      <c r="A126" s="1" t="s">
        <v>111</v>
      </c>
      <c r="B126" s="1" t="n">
        <v>1520</v>
      </c>
      <c r="C126" s="1" t="n">
        <v>267.5333</v>
      </c>
      <c r="D126" s="1" t="n">
        <v>285.6079</v>
      </c>
      <c r="E126" s="1" t="n">
        <v>45</v>
      </c>
    </row>
    <row r="127" customFormat="false" ht="14.65" hidden="false" customHeight="false" outlineLevel="0" collapsed="false">
      <c r="A127" s="1" t="s">
        <v>111</v>
      </c>
      <c r="B127" s="1" t="n">
        <v>1600</v>
      </c>
      <c r="C127" s="1" t="n">
        <v>258.2837</v>
      </c>
      <c r="D127" s="1" t="n">
        <v>268.2512</v>
      </c>
      <c r="E127" s="1" t="n">
        <v>215</v>
      </c>
    </row>
    <row r="128" customFormat="false" ht="14.65" hidden="false" customHeight="false" outlineLevel="0" collapsed="false">
      <c r="A128" s="1" t="s">
        <v>111</v>
      </c>
      <c r="B128" s="1" t="n">
        <v>1640</v>
      </c>
      <c r="C128" s="1" t="n">
        <v>218.2321</v>
      </c>
      <c r="D128" s="1" t="n">
        <v>277.4855</v>
      </c>
      <c r="E128" s="1" t="n">
        <v>56</v>
      </c>
    </row>
    <row r="129" customFormat="false" ht="14.65" hidden="false" customHeight="false" outlineLevel="0" collapsed="false">
      <c r="A129" s="1" t="s">
        <v>111</v>
      </c>
      <c r="B129" s="1" t="n">
        <v>1680</v>
      </c>
      <c r="C129" s="1" t="n">
        <v>252.3934</v>
      </c>
      <c r="D129" s="1" t="n">
        <v>273.9689</v>
      </c>
      <c r="E129" s="1" t="n">
        <v>61</v>
      </c>
    </row>
    <row r="130" customFormat="false" ht="14.65" hidden="false" customHeight="false" outlineLevel="0" collapsed="false">
      <c r="A130" s="1" t="s">
        <v>111</v>
      </c>
      <c r="B130" s="1" t="n">
        <v>1840</v>
      </c>
      <c r="C130" s="1" t="n">
        <v>217.7091</v>
      </c>
      <c r="D130" s="1" t="n">
        <v>251.5129</v>
      </c>
      <c r="E130" s="1" t="n">
        <v>55</v>
      </c>
    </row>
    <row r="131" customFormat="false" ht="14.65" hidden="false" customHeight="false" outlineLevel="0" collapsed="false">
      <c r="A131" s="1" t="s">
        <v>111</v>
      </c>
      <c r="B131" s="1" t="n">
        <v>1920</v>
      </c>
      <c r="C131" s="1" t="n">
        <v>243.0227</v>
      </c>
      <c r="D131" s="1" t="n">
        <v>272.331</v>
      </c>
      <c r="E131" s="1" t="n">
        <v>88</v>
      </c>
    </row>
    <row r="132" customFormat="false" ht="14.65" hidden="false" customHeight="false" outlineLevel="0" collapsed="false">
      <c r="A132" s="1" t="s">
        <v>111</v>
      </c>
      <c r="B132" s="1" t="n">
        <v>1930</v>
      </c>
      <c r="C132" s="1" t="n">
        <v>257.7547</v>
      </c>
      <c r="D132" s="1" t="n">
        <v>267.0345</v>
      </c>
      <c r="E132" s="1" t="n">
        <v>53</v>
      </c>
    </row>
    <row r="133" customFormat="false" ht="14.65" hidden="false" customHeight="false" outlineLevel="0" collapsed="false">
      <c r="A133" s="1" t="s">
        <v>111</v>
      </c>
      <c r="B133" s="1" t="n">
        <v>2080</v>
      </c>
      <c r="C133" s="1" t="n">
        <v>279.1589</v>
      </c>
      <c r="D133" s="1" t="n">
        <v>287.9836</v>
      </c>
      <c r="E133" s="1" t="n">
        <v>107</v>
      </c>
    </row>
    <row r="134" customFormat="false" ht="14.65" hidden="false" customHeight="false" outlineLevel="0" collapsed="false">
      <c r="A134" s="1" t="s">
        <v>111</v>
      </c>
      <c r="B134" s="1" t="n">
        <v>2160</v>
      </c>
      <c r="C134" s="1" t="n">
        <v>293.5072</v>
      </c>
      <c r="D134" s="1" t="n">
        <v>270.333</v>
      </c>
      <c r="E134" s="1" t="n">
        <v>138</v>
      </c>
    </row>
    <row r="135" customFormat="false" ht="14.65" hidden="false" customHeight="false" outlineLevel="0" collapsed="false">
      <c r="A135" s="1" t="s">
        <v>111</v>
      </c>
      <c r="B135" s="1" t="n">
        <v>2680</v>
      </c>
      <c r="C135" s="1" t="n">
        <v>205.6512</v>
      </c>
      <c r="D135" s="1" t="n">
        <v>262.6103</v>
      </c>
      <c r="E135" s="1" t="n">
        <v>43</v>
      </c>
    </row>
    <row r="136" customFormat="false" ht="14.65" hidden="false" customHeight="false" outlineLevel="0" collapsed="false">
      <c r="A136" s="1" t="s">
        <v>111</v>
      </c>
      <c r="B136" s="1" t="n">
        <v>2800</v>
      </c>
      <c r="C136" s="1" t="n">
        <v>308.8333</v>
      </c>
      <c r="D136" s="1" t="n">
        <v>282.8929</v>
      </c>
      <c r="E136" s="1" t="n">
        <v>42</v>
      </c>
    </row>
    <row r="137" customFormat="false" ht="14.65" hidden="false" customHeight="false" outlineLevel="0" collapsed="false">
      <c r="A137" s="1" t="s">
        <v>111</v>
      </c>
      <c r="B137" s="1" t="n">
        <v>2920</v>
      </c>
      <c r="C137" s="1" t="n">
        <v>32.5</v>
      </c>
      <c r="D137" s="1" t="n">
        <v>65</v>
      </c>
      <c r="E137" s="1" t="n">
        <v>4</v>
      </c>
    </row>
    <row r="138" customFormat="false" ht="14.65" hidden="false" customHeight="false" outlineLevel="0" collapsed="false">
      <c r="A138" s="1" t="s">
        <v>111</v>
      </c>
      <c r="B138" s="1" t="n">
        <v>2960</v>
      </c>
      <c r="C138" s="1" t="n">
        <v>240.7273</v>
      </c>
      <c r="D138" s="1" t="n">
        <v>273.6801</v>
      </c>
      <c r="E138" s="1" t="n">
        <v>11</v>
      </c>
    </row>
    <row r="139" customFormat="false" ht="14.65" hidden="false" customHeight="false" outlineLevel="0" collapsed="false">
      <c r="A139" s="1" t="s">
        <v>111</v>
      </c>
      <c r="B139" s="1" t="n">
        <v>3200</v>
      </c>
      <c r="C139" s="1" t="n">
        <v>502.7273</v>
      </c>
      <c r="D139" s="1" t="n">
        <v>287.271</v>
      </c>
      <c r="E139" s="1" t="n">
        <v>11</v>
      </c>
    </row>
    <row r="140" customFormat="false" ht="14.65" hidden="false" customHeight="false" outlineLevel="0" collapsed="false">
      <c r="A140" s="1" t="s">
        <v>111</v>
      </c>
      <c r="B140" s="1" t="n">
        <v>3280</v>
      </c>
      <c r="C140" s="1" t="n">
        <v>242.9707</v>
      </c>
      <c r="D140" s="1" t="n">
        <v>262.9532</v>
      </c>
      <c r="E140" s="1" t="n">
        <v>205</v>
      </c>
    </row>
    <row r="141" customFormat="false" ht="14.65" hidden="false" customHeight="false" outlineLevel="0" collapsed="false">
      <c r="A141" s="1" t="s">
        <v>111</v>
      </c>
      <c r="B141" s="1" t="n">
        <v>3360</v>
      </c>
      <c r="C141" s="1" t="n">
        <v>249.7231</v>
      </c>
      <c r="D141" s="1" t="n">
        <v>266.471</v>
      </c>
      <c r="E141" s="1" t="n">
        <v>130</v>
      </c>
    </row>
    <row r="142" customFormat="false" ht="14.65" hidden="false" customHeight="false" outlineLevel="0" collapsed="false">
      <c r="A142" s="1" t="s">
        <v>111</v>
      </c>
      <c r="B142" s="1" t="n">
        <v>3480</v>
      </c>
      <c r="C142" s="1" t="n">
        <v>275.323</v>
      </c>
      <c r="D142" s="1" t="n">
        <v>273.9934</v>
      </c>
      <c r="E142" s="1" t="n">
        <v>551</v>
      </c>
    </row>
    <row r="143" customFormat="false" ht="14.65" hidden="false" customHeight="false" outlineLevel="0" collapsed="false">
      <c r="A143" s="1" t="s">
        <v>111</v>
      </c>
      <c r="B143" s="1" t="n">
        <v>3640</v>
      </c>
      <c r="C143" s="1" t="n">
        <v>178.8889</v>
      </c>
      <c r="D143" s="1" t="n">
        <v>268.3372</v>
      </c>
      <c r="E143" s="1" t="n">
        <v>9</v>
      </c>
    </row>
    <row r="144" customFormat="false" ht="14.65" hidden="false" customHeight="false" outlineLevel="0" collapsed="false">
      <c r="A144" s="1" t="s">
        <v>111</v>
      </c>
      <c r="B144" s="1" t="n">
        <v>3690</v>
      </c>
      <c r="C144" s="1" t="n">
        <v>357.9545</v>
      </c>
      <c r="D144" s="1" t="n">
        <v>292.5368</v>
      </c>
      <c r="E144" s="1" t="n">
        <v>22</v>
      </c>
    </row>
    <row r="145" customFormat="false" ht="14.65" hidden="false" customHeight="false" outlineLevel="0" collapsed="false">
      <c r="A145" s="1" t="s">
        <v>111</v>
      </c>
      <c r="B145" s="1" t="n">
        <v>3760</v>
      </c>
      <c r="C145" s="1" t="n">
        <v>302.2951</v>
      </c>
      <c r="D145" s="1" t="n">
        <v>235.8764</v>
      </c>
      <c r="E145" s="1" t="n">
        <v>61</v>
      </c>
    </row>
    <row r="146" customFormat="false" ht="14.65" hidden="false" customHeight="false" outlineLevel="0" collapsed="false">
      <c r="A146" s="1" t="s">
        <v>111</v>
      </c>
      <c r="B146" s="1" t="n">
        <v>3800</v>
      </c>
      <c r="C146" s="1" t="n">
        <v>0</v>
      </c>
      <c r="D146" s="1" t="n">
        <v>0</v>
      </c>
      <c r="E146" s="1" t="n">
        <v>2</v>
      </c>
    </row>
    <row r="147" customFormat="false" ht="14.65" hidden="false" customHeight="false" outlineLevel="0" collapsed="false">
      <c r="A147" s="1" t="s">
        <v>111</v>
      </c>
      <c r="B147" s="1" t="n">
        <v>3965</v>
      </c>
      <c r="C147" s="1" t="n">
        <v>219.0294</v>
      </c>
      <c r="D147" s="1" t="n">
        <v>258.4073</v>
      </c>
      <c r="E147" s="1" t="n">
        <v>34</v>
      </c>
    </row>
    <row r="148" customFormat="false" ht="14.65" hidden="false" customHeight="false" outlineLevel="0" collapsed="false">
      <c r="A148" s="1" t="s">
        <v>111</v>
      </c>
      <c r="B148" s="1" t="n">
        <v>4160</v>
      </c>
      <c r="C148" s="1" t="n">
        <v>400</v>
      </c>
      <c r="D148" s="1" t="n">
        <v>281.6765</v>
      </c>
      <c r="E148" s="1" t="n">
        <v>7</v>
      </c>
    </row>
    <row r="149" customFormat="false" ht="14.65" hidden="false" customHeight="false" outlineLevel="0" collapsed="false">
      <c r="A149" s="1" t="s">
        <v>111</v>
      </c>
      <c r="B149" s="1" t="n">
        <v>4440</v>
      </c>
      <c r="C149" s="1" t="n">
        <v>286.6667</v>
      </c>
      <c r="D149" s="1" t="n">
        <v>273.4616</v>
      </c>
      <c r="E149" s="1" t="n">
        <v>9</v>
      </c>
    </row>
    <row r="150" customFormat="false" ht="14.65" hidden="false" customHeight="false" outlineLevel="0" collapsed="false">
      <c r="A150" s="1" t="s">
        <v>111</v>
      </c>
      <c r="B150" s="1" t="n">
        <v>4480</v>
      </c>
      <c r="C150" s="1" t="n">
        <v>278.4124</v>
      </c>
      <c r="D150" s="1" t="n">
        <v>276.7294</v>
      </c>
      <c r="E150" s="1" t="n">
        <v>274</v>
      </c>
    </row>
    <row r="151" customFormat="false" ht="14.65" hidden="false" customHeight="false" outlineLevel="0" collapsed="false">
      <c r="A151" s="1" t="s">
        <v>111</v>
      </c>
      <c r="B151" s="1" t="n">
        <v>4560</v>
      </c>
      <c r="C151" s="1" t="n">
        <v>152.6667</v>
      </c>
      <c r="D151" s="1" t="n">
        <v>246.4183</v>
      </c>
      <c r="E151" s="1" t="n">
        <v>9</v>
      </c>
    </row>
    <row r="152" customFormat="false" ht="14.65" hidden="false" customHeight="false" outlineLevel="0" collapsed="false">
      <c r="A152" s="1" t="s">
        <v>111</v>
      </c>
      <c r="B152" s="1" t="n">
        <v>5000</v>
      </c>
      <c r="C152" s="1" t="n">
        <v>202.1277</v>
      </c>
      <c r="D152" s="1" t="n">
        <v>256.4946</v>
      </c>
      <c r="E152" s="1" t="n">
        <v>47</v>
      </c>
    </row>
    <row r="153" customFormat="false" ht="14.65" hidden="false" customHeight="false" outlineLevel="0" collapsed="false">
      <c r="A153" s="1" t="s">
        <v>111</v>
      </c>
      <c r="B153" s="1" t="n">
        <v>5015</v>
      </c>
      <c r="C153" s="1" t="n">
        <v>249.4839</v>
      </c>
      <c r="D153" s="1" t="n">
        <v>290.3331</v>
      </c>
      <c r="E153" s="1" t="n">
        <v>31</v>
      </c>
    </row>
    <row r="154" customFormat="false" ht="14.65" hidden="false" customHeight="false" outlineLevel="0" collapsed="false">
      <c r="A154" s="1" t="s">
        <v>111</v>
      </c>
      <c r="B154" s="1" t="n">
        <v>5020</v>
      </c>
      <c r="C154" s="1" t="n">
        <v>217.6667</v>
      </c>
      <c r="D154" s="1" t="n">
        <v>271.4906</v>
      </c>
      <c r="E154" s="1" t="n">
        <v>12</v>
      </c>
    </row>
    <row r="155" customFormat="false" ht="14.65" hidden="false" customHeight="false" outlineLevel="0" collapsed="false">
      <c r="A155" s="1" t="s">
        <v>111</v>
      </c>
      <c r="B155" s="1" t="n">
        <v>5080</v>
      </c>
      <c r="C155" s="1" t="n">
        <v>329.4048</v>
      </c>
      <c r="D155" s="1" t="n">
        <v>265.7998</v>
      </c>
      <c r="E155" s="1" t="n">
        <v>42</v>
      </c>
    </row>
    <row r="156" customFormat="false" ht="14.65" hidden="false" customHeight="false" outlineLevel="0" collapsed="false">
      <c r="A156" s="1" t="s">
        <v>111</v>
      </c>
      <c r="B156" s="1" t="n">
        <v>5120</v>
      </c>
      <c r="C156" s="1" t="n">
        <v>264.3956</v>
      </c>
      <c r="D156" s="1" t="n">
        <v>288.1627</v>
      </c>
      <c r="E156" s="1" t="n">
        <v>91</v>
      </c>
    </row>
    <row r="157" customFormat="false" ht="14.65" hidden="false" customHeight="false" outlineLevel="0" collapsed="false">
      <c r="A157" s="1" t="s">
        <v>111</v>
      </c>
      <c r="B157" s="1" t="n">
        <v>5190</v>
      </c>
      <c r="C157" s="1" t="n">
        <v>269.2745</v>
      </c>
      <c r="D157" s="1" t="n">
        <v>246.2697</v>
      </c>
      <c r="E157" s="1" t="n">
        <v>51</v>
      </c>
    </row>
    <row r="158" customFormat="false" ht="14.65" hidden="false" customHeight="false" outlineLevel="0" collapsed="false">
      <c r="A158" s="1" t="s">
        <v>111</v>
      </c>
      <c r="B158" s="1" t="n">
        <v>5350</v>
      </c>
      <c r="C158" s="1" t="n">
        <v>605</v>
      </c>
      <c r="D158" s="1" t="n">
        <v>197.9899</v>
      </c>
      <c r="E158" s="1" t="n">
        <v>2</v>
      </c>
    </row>
    <row r="159" customFormat="false" ht="14.65" hidden="false" customHeight="false" outlineLevel="0" collapsed="false">
      <c r="A159" s="1" t="s">
        <v>111</v>
      </c>
      <c r="B159" s="1" t="n">
        <v>5380</v>
      </c>
      <c r="C159" s="1" t="n">
        <v>258.9458</v>
      </c>
      <c r="D159" s="1" t="n">
        <v>267.7125</v>
      </c>
      <c r="E159" s="1" t="n">
        <v>295</v>
      </c>
    </row>
    <row r="160" customFormat="false" ht="14.65" hidden="false" customHeight="false" outlineLevel="0" collapsed="false">
      <c r="A160" s="1" t="s">
        <v>111</v>
      </c>
      <c r="B160" s="1" t="n">
        <v>5440</v>
      </c>
      <c r="C160" s="1" t="n">
        <v>284.2909</v>
      </c>
      <c r="D160" s="1" t="n">
        <v>284.648</v>
      </c>
      <c r="E160" s="1" t="n">
        <v>55</v>
      </c>
    </row>
    <row r="161" customFormat="false" ht="14.65" hidden="false" customHeight="false" outlineLevel="0" collapsed="false">
      <c r="A161" s="1" t="s">
        <v>111</v>
      </c>
      <c r="B161" s="1" t="n">
        <v>5560</v>
      </c>
      <c r="C161" s="1" t="n">
        <v>232.027</v>
      </c>
      <c r="D161" s="1" t="n">
        <v>252.3132</v>
      </c>
      <c r="E161" s="1" t="n">
        <v>37</v>
      </c>
    </row>
    <row r="162" customFormat="false" ht="14.65" hidden="false" customHeight="false" outlineLevel="0" collapsed="false">
      <c r="A162" s="1" t="s">
        <v>111</v>
      </c>
      <c r="B162" s="1" t="n">
        <v>5600</v>
      </c>
      <c r="C162" s="1" t="n">
        <v>284.1843</v>
      </c>
      <c r="D162" s="1" t="n">
        <v>278.9832</v>
      </c>
      <c r="E162" s="1" t="n">
        <v>396</v>
      </c>
    </row>
    <row r="163" customFormat="false" ht="14.65" hidden="false" customHeight="false" outlineLevel="0" collapsed="false">
      <c r="A163" s="1" t="s">
        <v>111</v>
      </c>
      <c r="B163" s="1" t="n">
        <v>5640</v>
      </c>
      <c r="C163" s="1" t="n">
        <v>301.6528</v>
      </c>
      <c r="D163" s="1" t="n">
        <v>280.203</v>
      </c>
      <c r="E163" s="1" t="n">
        <v>72</v>
      </c>
    </row>
    <row r="164" customFormat="false" ht="14.65" hidden="false" customHeight="false" outlineLevel="0" collapsed="false">
      <c r="A164" s="1" t="s">
        <v>111</v>
      </c>
      <c r="B164" s="1" t="n">
        <v>5700</v>
      </c>
      <c r="C164" s="1" t="n">
        <v>190.2857</v>
      </c>
      <c r="D164" s="1" t="n">
        <v>338.8125</v>
      </c>
      <c r="E164" s="1" t="n">
        <v>7</v>
      </c>
    </row>
    <row r="165" customFormat="false" ht="14.65" hidden="false" customHeight="false" outlineLevel="0" collapsed="false">
      <c r="A165" s="1" t="s">
        <v>111</v>
      </c>
      <c r="B165" s="1" t="n">
        <v>5720</v>
      </c>
      <c r="C165" s="1" t="n">
        <v>349.0175</v>
      </c>
      <c r="D165" s="1" t="n">
        <v>288.0447</v>
      </c>
      <c r="E165" s="1" t="n">
        <v>57</v>
      </c>
    </row>
    <row r="166" customFormat="false" ht="14.65" hidden="false" customHeight="false" outlineLevel="0" collapsed="false">
      <c r="A166" s="1" t="s">
        <v>111</v>
      </c>
      <c r="B166" s="1" t="n">
        <v>5760</v>
      </c>
      <c r="C166" s="1" t="n">
        <v>229.6829</v>
      </c>
      <c r="D166" s="1" t="n">
        <v>269.2379</v>
      </c>
      <c r="E166" s="1" t="n">
        <v>41</v>
      </c>
    </row>
    <row r="167" customFormat="false" ht="14.65" hidden="false" customHeight="false" outlineLevel="0" collapsed="false">
      <c r="A167" s="1" t="s">
        <v>111</v>
      </c>
      <c r="B167" s="1" t="n">
        <v>5775</v>
      </c>
      <c r="C167" s="1" t="n">
        <v>228.2821</v>
      </c>
      <c r="D167" s="1" t="n">
        <v>260.1761</v>
      </c>
      <c r="E167" s="1" t="n">
        <v>78</v>
      </c>
    </row>
    <row r="168" customFormat="false" ht="14.65" hidden="false" customHeight="false" outlineLevel="0" collapsed="false">
      <c r="A168" s="1" t="s">
        <v>111</v>
      </c>
      <c r="B168" s="1" t="n">
        <v>5950</v>
      </c>
      <c r="C168" s="1" t="n">
        <v>298.381</v>
      </c>
      <c r="D168" s="1" t="n">
        <v>290.6452</v>
      </c>
      <c r="E168" s="1" t="n">
        <v>21</v>
      </c>
    </row>
    <row r="169" customFormat="false" ht="14.65" hidden="false" customHeight="false" outlineLevel="0" collapsed="false">
      <c r="A169" s="1" t="s">
        <v>111</v>
      </c>
      <c r="B169" s="1" t="n">
        <v>5960</v>
      </c>
      <c r="C169" s="1" t="n">
        <v>273.5581</v>
      </c>
      <c r="D169" s="1" t="n">
        <v>275.4595</v>
      </c>
      <c r="E169" s="1" t="n">
        <v>43</v>
      </c>
    </row>
    <row r="170" customFormat="false" ht="14.65" hidden="false" customHeight="false" outlineLevel="0" collapsed="false">
      <c r="A170" s="1" t="s">
        <v>111</v>
      </c>
      <c r="B170" s="1" t="n">
        <v>6000</v>
      </c>
      <c r="C170" s="1" t="n">
        <v>380.1739</v>
      </c>
      <c r="D170" s="1" t="n">
        <v>259.5657</v>
      </c>
      <c r="E170" s="1" t="n">
        <v>23</v>
      </c>
    </row>
    <row r="171" customFormat="false" ht="14.65" hidden="false" customHeight="false" outlineLevel="0" collapsed="false">
      <c r="A171" s="1" t="s">
        <v>111</v>
      </c>
      <c r="B171" s="1" t="n">
        <v>6060</v>
      </c>
      <c r="C171" s="1" t="n">
        <v>210.1667</v>
      </c>
      <c r="D171" s="1" t="n">
        <v>328.5425</v>
      </c>
      <c r="E171" s="1" t="n">
        <v>6</v>
      </c>
    </row>
    <row r="172" customFormat="false" ht="14.65" hidden="false" customHeight="false" outlineLevel="0" collapsed="false">
      <c r="A172" s="1" t="s">
        <v>111</v>
      </c>
      <c r="B172" s="1" t="n">
        <v>6160</v>
      </c>
      <c r="C172" s="1" t="n">
        <v>253.6826</v>
      </c>
      <c r="D172" s="1" t="n">
        <v>262.9934</v>
      </c>
      <c r="E172" s="1" t="n">
        <v>167</v>
      </c>
    </row>
    <row r="173" customFormat="false" ht="14.65" hidden="false" customHeight="false" outlineLevel="0" collapsed="false">
      <c r="A173" s="1" t="s">
        <v>111</v>
      </c>
      <c r="B173" s="1" t="n">
        <v>6200</v>
      </c>
      <c r="C173" s="1" t="n">
        <v>227.6222</v>
      </c>
      <c r="D173" s="1" t="n">
        <v>270.6066</v>
      </c>
      <c r="E173" s="1" t="n">
        <v>90</v>
      </c>
    </row>
    <row r="174" customFormat="false" ht="14.65" hidden="false" customHeight="false" outlineLevel="0" collapsed="false">
      <c r="A174" s="1" t="s">
        <v>111</v>
      </c>
      <c r="B174" s="1" t="n">
        <v>6280</v>
      </c>
      <c r="C174" s="1" t="n">
        <v>188.2278</v>
      </c>
      <c r="D174" s="1" t="n">
        <v>257.7688</v>
      </c>
      <c r="E174" s="1" t="n">
        <v>79</v>
      </c>
    </row>
    <row r="175" customFormat="false" ht="14.65" hidden="false" customHeight="false" outlineLevel="0" collapsed="false">
      <c r="A175" s="1" t="s">
        <v>111</v>
      </c>
      <c r="B175" s="1" t="n">
        <v>6440</v>
      </c>
      <c r="C175" s="1" t="n">
        <v>227.5455</v>
      </c>
      <c r="D175" s="1" t="n">
        <v>290.4848</v>
      </c>
      <c r="E175" s="1" t="n">
        <v>44</v>
      </c>
    </row>
    <row r="176" customFormat="false" ht="14.65" hidden="false" customHeight="false" outlineLevel="0" collapsed="false">
      <c r="A176" s="1" t="s">
        <v>111</v>
      </c>
      <c r="B176" s="1" t="n">
        <v>6480</v>
      </c>
      <c r="C176" s="1" t="n">
        <v>173.4167</v>
      </c>
      <c r="D176" s="1" t="n">
        <v>242.851</v>
      </c>
      <c r="E176" s="1" t="n">
        <v>24</v>
      </c>
    </row>
    <row r="177" customFormat="false" ht="14.65" hidden="false" customHeight="false" outlineLevel="0" collapsed="false">
      <c r="A177" s="1" t="s">
        <v>111</v>
      </c>
      <c r="B177" s="1" t="n">
        <v>6600</v>
      </c>
      <c r="C177" s="1" t="n">
        <v>540</v>
      </c>
      <c r="D177" s="1" t="n">
        <v>0</v>
      </c>
      <c r="E177" s="1" t="n">
        <v>1</v>
      </c>
    </row>
    <row r="178" customFormat="false" ht="14.65" hidden="false" customHeight="false" outlineLevel="0" collapsed="false">
      <c r="A178" s="1" t="s">
        <v>111</v>
      </c>
      <c r="B178" s="1" t="n">
        <v>6780</v>
      </c>
      <c r="C178" s="1" t="n">
        <v>239.1648</v>
      </c>
      <c r="D178" s="1" t="n">
        <v>261.0819</v>
      </c>
      <c r="E178" s="1" t="n">
        <v>91</v>
      </c>
    </row>
    <row r="179" customFormat="false" ht="14.65" hidden="false" customHeight="false" outlineLevel="0" collapsed="false">
      <c r="A179" s="1" t="s">
        <v>111</v>
      </c>
      <c r="B179" s="1" t="n">
        <v>6840</v>
      </c>
      <c r="C179" s="1" t="n">
        <v>331.9583</v>
      </c>
      <c r="D179" s="1" t="n">
        <v>266.1895</v>
      </c>
      <c r="E179" s="1" t="n">
        <v>24</v>
      </c>
    </row>
    <row r="180" customFormat="false" ht="14.65" hidden="false" customHeight="false" outlineLevel="0" collapsed="false">
      <c r="A180" s="1" t="s">
        <v>111</v>
      </c>
      <c r="B180" s="1" t="n">
        <v>6920</v>
      </c>
      <c r="C180" s="1" t="n">
        <v>260.9792</v>
      </c>
      <c r="D180" s="1" t="n">
        <v>300.0573</v>
      </c>
      <c r="E180" s="1" t="n">
        <v>48</v>
      </c>
    </row>
    <row r="181" customFormat="false" ht="14.65" hidden="false" customHeight="false" outlineLevel="0" collapsed="false">
      <c r="A181" s="1" t="s">
        <v>111</v>
      </c>
      <c r="B181" s="1" t="n">
        <v>7040</v>
      </c>
      <c r="C181" s="1" t="n">
        <v>289.5119</v>
      </c>
      <c r="D181" s="1" t="n">
        <v>257.0308</v>
      </c>
      <c r="E181" s="1" t="n">
        <v>84</v>
      </c>
    </row>
    <row r="182" customFormat="false" ht="14.65" hidden="false" customHeight="false" outlineLevel="0" collapsed="false">
      <c r="A182" s="1" t="s">
        <v>111</v>
      </c>
      <c r="B182" s="1" t="n">
        <v>7090</v>
      </c>
      <c r="C182" s="1" t="n">
        <v>426.4</v>
      </c>
      <c r="D182" s="1" t="n">
        <v>306.2055</v>
      </c>
      <c r="E182" s="1" t="n">
        <v>10</v>
      </c>
    </row>
    <row r="183" customFormat="false" ht="14.65" hidden="false" customHeight="false" outlineLevel="0" collapsed="false">
      <c r="A183" s="1" t="s">
        <v>111</v>
      </c>
      <c r="B183" s="1" t="n">
        <v>7160</v>
      </c>
      <c r="C183" s="1" t="n">
        <v>301.1</v>
      </c>
      <c r="D183" s="1" t="n">
        <v>249.6235</v>
      </c>
      <c r="E183" s="1" t="n">
        <v>30</v>
      </c>
    </row>
    <row r="184" customFormat="false" ht="14.65" hidden="false" customHeight="false" outlineLevel="0" collapsed="false">
      <c r="A184" s="1" t="s">
        <v>111</v>
      </c>
      <c r="B184" s="1" t="n">
        <v>7240</v>
      </c>
      <c r="C184" s="1" t="n">
        <v>237.9167</v>
      </c>
      <c r="D184" s="1" t="n">
        <v>263.6381</v>
      </c>
      <c r="E184" s="1" t="n">
        <v>60</v>
      </c>
    </row>
    <row r="185" customFormat="false" ht="14.65" hidden="false" customHeight="false" outlineLevel="0" collapsed="false">
      <c r="A185" s="1" t="s">
        <v>111</v>
      </c>
      <c r="B185" s="1" t="n">
        <v>7320</v>
      </c>
      <c r="C185" s="1" t="n">
        <v>255.0224</v>
      </c>
      <c r="D185" s="1" t="n">
        <v>273.6578</v>
      </c>
      <c r="E185" s="1" t="n">
        <v>134</v>
      </c>
    </row>
    <row r="186" customFormat="false" ht="14.65" hidden="false" customHeight="false" outlineLevel="0" collapsed="false">
      <c r="A186" s="1" t="s">
        <v>111</v>
      </c>
      <c r="B186" s="1" t="n">
        <v>7360</v>
      </c>
      <c r="C186" s="1" t="n">
        <v>189.12</v>
      </c>
      <c r="D186" s="1" t="n">
        <v>247.7401</v>
      </c>
      <c r="E186" s="1" t="n">
        <v>50</v>
      </c>
    </row>
    <row r="187" customFormat="false" ht="14.65" hidden="false" customHeight="false" outlineLevel="0" collapsed="false">
      <c r="A187" s="1" t="s">
        <v>111</v>
      </c>
      <c r="B187" s="1" t="n">
        <v>7400</v>
      </c>
      <c r="C187" s="1" t="n">
        <v>280.0667</v>
      </c>
      <c r="D187" s="1" t="n">
        <v>269.4433</v>
      </c>
      <c r="E187" s="1" t="n">
        <v>45</v>
      </c>
    </row>
    <row r="188" customFormat="false" ht="14.65" hidden="false" customHeight="false" outlineLevel="0" collapsed="false">
      <c r="A188" s="1" t="s">
        <v>111</v>
      </c>
      <c r="B188" s="1" t="n">
        <v>7485</v>
      </c>
      <c r="C188" s="1" t="n">
        <v>64.375</v>
      </c>
      <c r="D188" s="1" t="n">
        <v>182.08</v>
      </c>
      <c r="E188" s="1" t="n">
        <v>8</v>
      </c>
    </row>
    <row r="189" customFormat="false" ht="14.65" hidden="false" customHeight="false" outlineLevel="0" collapsed="false">
      <c r="A189" s="1" t="s">
        <v>111</v>
      </c>
      <c r="B189" s="1" t="n">
        <v>7500</v>
      </c>
      <c r="C189" s="1" t="n">
        <v>159.5833</v>
      </c>
      <c r="D189" s="1" t="n">
        <v>240.1653</v>
      </c>
      <c r="E189" s="1" t="n">
        <v>12</v>
      </c>
    </row>
    <row r="190" customFormat="false" ht="14.65" hidden="false" customHeight="false" outlineLevel="0" collapsed="false">
      <c r="A190" s="1" t="s">
        <v>111</v>
      </c>
      <c r="B190" s="1" t="n">
        <v>7600</v>
      </c>
      <c r="C190" s="1" t="n">
        <v>247.7403</v>
      </c>
      <c r="D190" s="1" t="n">
        <v>250.0595</v>
      </c>
      <c r="E190" s="1" t="n">
        <v>77</v>
      </c>
    </row>
    <row r="191" customFormat="false" ht="14.65" hidden="false" customHeight="false" outlineLevel="0" collapsed="false">
      <c r="A191" s="1" t="s">
        <v>111</v>
      </c>
      <c r="B191" s="1" t="n">
        <v>8040</v>
      </c>
      <c r="C191" s="1" t="n">
        <v>290.4267</v>
      </c>
      <c r="D191" s="1" t="n">
        <v>297.7468</v>
      </c>
      <c r="E191" s="1" t="n">
        <v>75</v>
      </c>
    </row>
    <row r="192" customFormat="false" ht="14.65" hidden="false" customHeight="false" outlineLevel="0" collapsed="false">
      <c r="A192" s="1" t="s">
        <v>111</v>
      </c>
      <c r="B192" s="1" t="n">
        <v>8200</v>
      </c>
      <c r="C192" s="1" t="n">
        <v>295.2381</v>
      </c>
      <c r="D192" s="1" t="n">
        <v>281.8766</v>
      </c>
      <c r="E192" s="1" t="n">
        <v>21</v>
      </c>
    </row>
    <row r="193" customFormat="false" ht="14.65" hidden="false" customHeight="false" outlineLevel="0" collapsed="false">
      <c r="A193" s="1" t="s">
        <v>111</v>
      </c>
      <c r="B193" s="1" t="n">
        <v>8280</v>
      </c>
      <c r="C193" s="1" t="n">
        <v>319.0571</v>
      </c>
      <c r="D193" s="1" t="n">
        <v>284.2932</v>
      </c>
      <c r="E193" s="1" t="n">
        <v>70</v>
      </c>
    </row>
    <row r="194" customFormat="false" ht="14.65" hidden="false" customHeight="false" outlineLevel="0" collapsed="false">
      <c r="A194" s="1" t="s">
        <v>111</v>
      </c>
      <c r="B194" s="1" t="n">
        <v>8480</v>
      </c>
      <c r="C194" s="1" t="n">
        <v>316.9286</v>
      </c>
      <c r="D194" s="1" t="n">
        <v>269.5647</v>
      </c>
      <c r="E194" s="1" t="n">
        <v>14</v>
      </c>
    </row>
    <row r="195" customFormat="false" ht="14.65" hidden="false" customHeight="false" outlineLevel="0" collapsed="false">
      <c r="A195" s="1" t="s">
        <v>111</v>
      </c>
      <c r="B195" s="1" t="n">
        <v>8720</v>
      </c>
      <c r="C195" s="1" t="n">
        <v>159</v>
      </c>
      <c r="D195" s="1" t="n">
        <v>257.4323</v>
      </c>
      <c r="E195" s="1" t="n">
        <v>17</v>
      </c>
    </row>
    <row r="196" customFormat="false" ht="14.65" hidden="false" customHeight="false" outlineLevel="0" collapsed="false">
      <c r="A196" s="1" t="s">
        <v>111</v>
      </c>
      <c r="B196" s="1" t="n">
        <v>8725</v>
      </c>
      <c r="C196" s="1" t="n">
        <v>365</v>
      </c>
      <c r="D196" s="1" t="n">
        <v>240.9097</v>
      </c>
      <c r="E196" s="1" t="n">
        <v>5</v>
      </c>
    </row>
    <row r="197" customFormat="false" ht="14.65" hidden="false" customHeight="false" outlineLevel="0" collapsed="false">
      <c r="A197" s="1" t="s">
        <v>111</v>
      </c>
      <c r="B197" s="1" t="n">
        <v>8760</v>
      </c>
      <c r="C197" s="1" t="n">
        <v>136.6667</v>
      </c>
      <c r="D197" s="1" t="n">
        <v>236.7136</v>
      </c>
      <c r="E197" s="1" t="n">
        <v>3</v>
      </c>
    </row>
    <row r="198" customFormat="false" ht="14.65" hidden="false" customHeight="false" outlineLevel="0" collapsed="false">
      <c r="A198" s="1" t="s">
        <v>111</v>
      </c>
      <c r="B198" s="1" t="n">
        <v>8840</v>
      </c>
      <c r="C198" s="1" t="n">
        <v>281.3207</v>
      </c>
      <c r="D198" s="1" t="n">
        <v>285.3305</v>
      </c>
      <c r="E198" s="1" t="n">
        <v>184</v>
      </c>
    </row>
    <row r="199" customFormat="false" ht="14.65" hidden="false" customHeight="false" outlineLevel="0" collapsed="false">
      <c r="A199" s="1" t="s">
        <v>111</v>
      </c>
      <c r="B199" s="1" t="n">
        <v>9160</v>
      </c>
      <c r="C199" s="1" t="n">
        <v>307.3571</v>
      </c>
      <c r="D199" s="1" t="n">
        <v>283.8297</v>
      </c>
      <c r="E199" s="1" t="n">
        <v>14</v>
      </c>
    </row>
    <row r="201" customFormat="false" ht="14.65" hidden="false" customHeight="false" outlineLevel="0" collapsed="false">
      <c r="B201" s="1" t="s">
        <v>14</v>
      </c>
      <c r="C201" s="1" t="s">
        <v>15</v>
      </c>
      <c r="D201" s="1" t="s">
        <v>16</v>
      </c>
      <c r="E201" s="1" t="n">
        <v>8159</v>
      </c>
    </row>
    <row r="202" customFormat="false" ht="14.65" hidden="false" customHeight="false" outlineLevel="0" collapsed="false">
      <c r="A202" s="1" t="s">
        <v>112</v>
      </c>
      <c r="B202" s="1" t="s">
        <v>15</v>
      </c>
      <c r="C202" s="1" t="s">
        <v>16</v>
      </c>
      <c r="D202" s="1" t="n">
        <v>2339</v>
      </c>
      <c r="E202" s="1" t="s">
        <v>113</v>
      </c>
      <c r="F202" s="1" t="n">
        <v>28.7</v>
      </c>
      <c r="G202" s="1" t="s">
        <v>114</v>
      </c>
    </row>
    <row r="203" customFormat="false" ht="14.65" hidden="false" customHeight="false" outlineLevel="0" collapsed="false">
      <c r="A203" s="1" t="s">
        <v>17</v>
      </c>
    </row>
    <row r="204" customFormat="false" ht="14.65" hidden="false" customHeight="false" outlineLevel="0" collapsed="false">
      <c r="A204" s="1" t="s">
        <v>18</v>
      </c>
      <c r="B204" s="1" t="n">
        <v>44</v>
      </c>
      <c r="C204" s="1" t="s">
        <v>19</v>
      </c>
      <c r="D204" s="2" t="n">
        <v>33957</v>
      </c>
    </row>
    <row r="206" customFormat="false" ht="14.65" hidden="false" customHeight="false" outlineLevel="0" collapsed="false">
      <c r="A206" s="1" t="s">
        <v>0</v>
      </c>
      <c r="B206" s="1" t="s">
        <v>1</v>
      </c>
      <c r="C206" s="1" t="s">
        <v>21</v>
      </c>
    </row>
    <row r="207" customFormat="false" ht="14.65" hidden="false" customHeight="false" outlineLevel="0" collapsed="false">
      <c r="A207" s="1" t="s">
        <v>3</v>
      </c>
      <c r="B207" s="1" t="s">
        <v>4</v>
      </c>
      <c r="C207" s="1" t="s">
        <v>1</v>
      </c>
      <c r="D207" s="1" t="s">
        <v>111</v>
      </c>
    </row>
    <row r="209" customFormat="false" ht="14.65" hidden="false" customHeight="false" outlineLevel="0" collapsed="false">
      <c r="A209" s="1" t="s">
        <v>6</v>
      </c>
      <c r="B209" s="1" t="s">
        <v>7</v>
      </c>
      <c r="C209" s="1" t="s">
        <v>48</v>
      </c>
      <c r="D209" s="1" t="s">
        <v>8</v>
      </c>
      <c r="E209" s="1" t="s">
        <v>49</v>
      </c>
      <c r="F209" s="1" t="s">
        <v>50</v>
      </c>
      <c r="G209" s="1" t="s">
        <v>15</v>
      </c>
    </row>
    <row r="211" customFormat="false" ht="14.65" hidden="false" customHeight="false" outlineLevel="0" collapsed="false">
      <c r="A211" s="1" t="s">
        <v>12</v>
      </c>
      <c r="B211" s="1" t="s">
        <v>13</v>
      </c>
      <c r="C211" s="1" t="s">
        <v>84</v>
      </c>
      <c r="D211" s="1" t="n">
        <v>21.4682</v>
      </c>
      <c r="E211" s="1" t="n">
        <v>53.7202</v>
      </c>
      <c r="F211" s="1" t="n">
        <v>5820</v>
      </c>
    </row>
    <row r="213" customFormat="false" ht="14.65" hidden="false" customHeight="false" outlineLevel="0" collapsed="false">
      <c r="A213" s="1" t="s">
        <v>111</v>
      </c>
      <c r="B213" s="1" t="n">
        <v>80</v>
      </c>
      <c r="C213" s="1" t="n">
        <v>13</v>
      </c>
      <c r="D213" s="1" t="n">
        <v>23.6749</v>
      </c>
      <c r="E213" s="1" t="n">
        <v>21</v>
      </c>
    </row>
    <row r="214" customFormat="false" ht="14.65" hidden="false" customHeight="false" outlineLevel="0" collapsed="false">
      <c r="A214" s="1" t="s">
        <v>111</v>
      </c>
      <c r="B214" s="1" t="n">
        <v>360</v>
      </c>
      <c r="C214" s="1" t="n">
        <v>22.9912</v>
      </c>
      <c r="D214" s="1" t="n">
        <v>50.7065</v>
      </c>
      <c r="E214" s="1" t="n">
        <v>113</v>
      </c>
    </row>
    <row r="215" customFormat="false" ht="14.65" hidden="false" customHeight="false" outlineLevel="0" collapsed="false">
      <c r="A215" s="1" t="s">
        <v>111</v>
      </c>
      <c r="B215" s="1" t="n">
        <v>440</v>
      </c>
      <c r="C215" s="1" t="n">
        <v>23.7778</v>
      </c>
      <c r="D215" s="1" t="n">
        <v>47.2771</v>
      </c>
      <c r="E215" s="1" t="n">
        <v>18</v>
      </c>
    </row>
    <row r="216" customFormat="false" ht="14.65" hidden="false" customHeight="false" outlineLevel="0" collapsed="false">
      <c r="A216" s="1" t="s">
        <v>111</v>
      </c>
      <c r="B216" s="1" t="n">
        <v>520</v>
      </c>
      <c r="C216" s="1" t="n">
        <v>13.1485</v>
      </c>
      <c r="D216" s="1" t="n">
        <v>31.7375</v>
      </c>
      <c r="E216" s="1" t="n">
        <v>101</v>
      </c>
    </row>
    <row r="217" customFormat="false" ht="14.65" hidden="false" customHeight="false" outlineLevel="0" collapsed="false">
      <c r="A217" s="1" t="s">
        <v>111</v>
      </c>
      <c r="B217" s="1" t="n">
        <v>620</v>
      </c>
      <c r="C217" s="1" t="n">
        <v>13.4667</v>
      </c>
      <c r="D217" s="1" t="n">
        <v>26.691</v>
      </c>
      <c r="E217" s="1" t="n">
        <v>15</v>
      </c>
    </row>
    <row r="218" customFormat="false" ht="14.65" hidden="false" customHeight="false" outlineLevel="0" collapsed="false">
      <c r="A218" s="1" t="s">
        <v>111</v>
      </c>
      <c r="B218" s="1" t="n">
        <v>720</v>
      </c>
      <c r="C218" s="1" t="n">
        <v>15.9767</v>
      </c>
      <c r="D218" s="1" t="n">
        <v>38.0244</v>
      </c>
      <c r="E218" s="1" t="n">
        <v>86</v>
      </c>
    </row>
    <row r="219" customFormat="false" ht="14.65" hidden="false" customHeight="false" outlineLevel="0" collapsed="false">
      <c r="A219" s="1" t="s">
        <v>111</v>
      </c>
      <c r="B219" s="1" t="n">
        <v>845</v>
      </c>
      <c r="C219" s="1" t="n">
        <v>41.8571</v>
      </c>
      <c r="D219" s="1" t="n">
        <v>87.5451</v>
      </c>
      <c r="E219" s="1" t="n">
        <v>7</v>
      </c>
    </row>
    <row r="220" customFormat="false" ht="14.65" hidden="false" customHeight="false" outlineLevel="0" collapsed="false">
      <c r="A220" s="1" t="s">
        <v>111</v>
      </c>
      <c r="B220" s="1" t="n">
        <v>875</v>
      </c>
      <c r="C220" s="1" t="n">
        <v>21.8525</v>
      </c>
      <c r="D220" s="1" t="n">
        <v>40.7115</v>
      </c>
      <c r="E220" s="1" t="n">
        <v>61</v>
      </c>
    </row>
    <row r="221" customFormat="false" ht="14.65" hidden="false" customHeight="false" outlineLevel="0" collapsed="false">
      <c r="A221" s="1" t="s">
        <v>111</v>
      </c>
      <c r="B221" s="1" t="n">
        <v>1120</v>
      </c>
      <c r="C221" s="1" t="n">
        <v>11.4051</v>
      </c>
      <c r="D221" s="1" t="n">
        <v>23.0259</v>
      </c>
      <c r="E221" s="1" t="n">
        <v>79</v>
      </c>
    </row>
    <row r="222" customFormat="false" ht="14.65" hidden="false" customHeight="false" outlineLevel="0" collapsed="false">
      <c r="A222" s="1" t="s">
        <v>111</v>
      </c>
      <c r="B222" s="1" t="n">
        <v>1125</v>
      </c>
      <c r="C222" s="1" t="n">
        <v>8.4</v>
      </c>
      <c r="D222" s="1" t="n">
        <v>18.783</v>
      </c>
      <c r="E222" s="1" t="n">
        <v>5</v>
      </c>
    </row>
    <row r="223" customFormat="false" ht="14.65" hidden="false" customHeight="false" outlineLevel="0" collapsed="false">
      <c r="A223" s="1" t="s">
        <v>111</v>
      </c>
      <c r="B223" s="1" t="n">
        <v>1160</v>
      </c>
      <c r="C223" s="1" t="n">
        <v>16.6061</v>
      </c>
      <c r="D223" s="1" t="n">
        <v>31.5132</v>
      </c>
      <c r="E223" s="1" t="n">
        <v>132</v>
      </c>
    </row>
    <row r="224" customFormat="false" ht="14.65" hidden="false" customHeight="false" outlineLevel="0" collapsed="false">
      <c r="A224" s="1" t="s">
        <v>111</v>
      </c>
      <c r="B224" s="1" t="n">
        <v>1170</v>
      </c>
      <c r="C224" s="1" t="n">
        <v>23.3103</v>
      </c>
      <c r="D224" s="1" t="n">
        <v>38.1352</v>
      </c>
      <c r="E224" s="1" t="n">
        <v>29</v>
      </c>
    </row>
    <row r="225" customFormat="false" ht="14.65" hidden="false" customHeight="false" outlineLevel="0" collapsed="false">
      <c r="A225" s="1" t="s">
        <v>111</v>
      </c>
      <c r="B225" s="1" t="n">
        <v>1200</v>
      </c>
      <c r="C225" s="1" t="n">
        <v>16.1667</v>
      </c>
      <c r="D225" s="1" t="n">
        <v>39.6001</v>
      </c>
      <c r="E225" s="1" t="n">
        <v>6</v>
      </c>
    </row>
    <row r="226" customFormat="false" ht="14.65" hidden="false" customHeight="false" outlineLevel="0" collapsed="false">
      <c r="A226" s="1" t="s">
        <v>111</v>
      </c>
      <c r="B226" s="1" t="n">
        <v>1280</v>
      </c>
      <c r="C226" s="1" t="n">
        <v>23.4118</v>
      </c>
      <c r="D226" s="1" t="n">
        <v>34.9858</v>
      </c>
      <c r="E226" s="1" t="n">
        <v>17</v>
      </c>
    </row>
    <row r="227" customFormat="false" ht="14.65" hidden="false" customHeight="false" outlineLevel="0" collapsed="false">
      <c r="A227" s="1" t="s">
        <v>111</v>
      </c>
      <c r="B227" s="1" t="n">
        <v>1520</v>
      </c>
      <c r="C227" s="1" t="n">
        <v>29.3333</v>
      </c>
      <c r="D227" s="1" t="n">
        <v>55.2371</v>
      </c>
      <c r="E227" s="1" t="n">
        <v>45</v>
      </c>
    </row>
    <row r="228" customFormat="false" ht="14.65" hidden="false" customHeight="false" outlineLevel="0" collapsed="false">
      <c r="A228" s="1" t="s">
        <v>111</v>
      </c>
      <c r="B228" s="1" t="n">
        <v>1600</v>
      </c>
      <c r="C228" s="1" t="n">
        <v>21.5395</v>
      </c>
      <c r="D228" s="1" t="n">
        <v>50.5548</v>
      </c>
      <c r="E228" s="1" t="n">
        <v>215</v>
      </c>
    </row>
    <row r="229" customFormat="false" ht="14.65" hidden="false" customHeight="false" outlineLevel="0" collapsed="false">
      <c r="A229" s="1" t="s">
        <v>111</v>
      </c>
      <c r="B229" s="1" t="n">
        <v>1640</v>
      </c>
      <c r="C229" s="1" t="n">
        <v>33.4286</v>
      </c>
      <c r="D229" s="1" t="n">
        <v>74.9855</v>
      </c>
      <c r="E229" s="1" t="n">
        <v>56</v>
      </c>
    </row>
    <row r="230" customFormat="false" ht="14.65" hidden="false" customHeight="false" outlineLevel="0" collapsed="false">
      <c r="A230" s="1" t="s">
        <v>111</v>
      </c>
      <c r="B230" s="1" t="n">
        <v>1680</v>
      </c>
      <c r="C230" s="1" t="n">
        <v>21.2951</v>
      </c>
      <c r="D230" s="1" t="n">
        <v>57.7911</v>
      </c>
      <c r="E230" s="1" t="n">
        <v>61</v>
      </c>
    </row>
    <row r="231" customFormat="false" ht="14.65" hidden="false" customHeight="false" outlineLevel="0" collapsed="false">
      <c r="A231" s="1" t="s">
        <v>111</v>
      </c>
      <c r="B231" s="1" t="n">
        <v>1840</v>
      </c>
      <c r="C231" s="1" t="n">
        <v>20.1455</v>
      </c>
      <c r="D231" s="1" t="n">
        <v>45.3004</v>
      </c>
      <c r="E231" s="1" t="n">
        <v>55</v>
      </c>
    </row>
    <row r="232" customFormat="false" ht="14.65" hidden="false" customHeight="false" outlineLevel="0" collapsed="false">
      <c r="A232" s="1" t="s">
        <v>111</v>
      </c>
      <c r="B232" s="1" t="n">
        <v>1920</v>
      </c>
      <c r="C232" s="1" t="n">
        <v>21.8068</v>
      </c>
      <c r="D232" s="1" t="n">
        <v>46.6762</v>
      </c>
      <c r="E232" s="1" t="n">
        <v>88</v>
      </c>
    </row>
    <row r="233" customFormat="false" ht="14.65" hidden="false" customHeight="false" outlineLevel="0" collapsed="false">
      <c r="A233" s="1" t="s">
        <v>111</v>
      </c>
      <c r="B233" s="1" t="n">
        <v>1930</v>
      </c>
      <c r="C233" s="1" t="n">
        <v>24.6038</v>
      </c>
      <c r="D233" s="1" t="n">
        <v>43.9586</v>
      </c>
      <c r="E233" s="1" t="n">
        <v>53</v>
      </c>
    </row>
    <row r="234" customFormat="false" ht="14.65" hidden="false" customHeight="false" outlineLevel="0" collapsed="false">
      <c r="A234" s="1" t="s">
        <v>111</v>
      </c>
      <c r="B234" s="1" t="n">
        <v>2080</v>
      </c>
      <c r="C234" s="1" t="n">
        <v>24.8785</v>
      </c>
      <c r="D234" s="1" t="n">
        <v>52.4256</v>
      </c>
      <c r="E234" s="1" t="n">
        <v>107</v>
      </c>
    </row>
    <row r="235" customFormat="false" ht="14.65" hidden="false" customHeight="false" outlineLevel="0" collapsed="false">
      <c r="A235" s="1" t="s">
        <v>111</v>
      </c>
      <c r="B235" s="1" t="n">
        <v>2160</v>
      </c>
      <c r="C235" s="1" t="n">
        <v>21</v>
      </c>
      <c r="D235" s="1" t="n">
        <v>60.25</v>
      </c>
      <c r="E235" s="1" t="n">
        <v>138</v>
      </c>
    </row>
    <row r="236" customFormat="false" ht="14.65" hidden="false" customHeight="false" outlineLevel="0" collapsed="false">
      <c r="A236" s="1" t="s">
        <v>111</v>
      </c>
      <c r="B236" s="1" t="n">
        <v>2680</v>
      </c>
      <c r="C236" s="1" t="n">
        <v>36.1395</v>
      </c>
      <c r="D236" s="1" t="n">
        <v>65.8713</v>
      </c>
      <c r="E236" s="1" t="n">
        <v>43</v>
      </c>
    </row>
    <row r="237" customFormat="false" ht="14.65" hidden="false" customHeight="false" outlineLevel="0" collapsed="false">
      <c r="A237" s="1" t="s">
        <v>111</v>
      </c>
      <c r="B237" s="1" t="n">
        <v>2800</v>
      </c>
      <c r="C237" s="1" t="n">
        <v>15.4286</v>
      </c>
      <c r="D237" s="1" t="n">
        <v>26.7191</v>
      </c>
      <c r="E237" s="1" t="n">
        <v>42</v>
      </c>
    </row>
    <row r="238" customFormat="false" ht="14.65" hidden="false" customHeight="false" outlineLevel="0" collapsed="false">
      <c r="A238" s="1" t="s">
        <v>111</v>
      </c>
      <c r="B238" s="1" t="n">
        <v>2920</v>
      </c>
      <c r="C238" s="1" t="n">
        <v>42.5</v>
      </c>
      <c r="D238" s="1" t="n">
        <v>15.2643</v>
      </c>
      <c r="E238" s="1" t="n">
        <v>4</v>
      </c>
    </row>
    <row r="239" customFormat="false" ht="14.65" hidden="false" customHeight="false" outlineLevel="0" collapsed="false">
      <c r="A239" s="1" t="s">
        <v>111</v>
      </c>
      <c r="B239" s="1" t="n">
        <v>2960</v>
      </c>
      <c r="C239" s="1" t="n">
        <v>103.6364</v>
      </c>
      <c r="D239" s="1" t="n">
        <v>227.5752</v>
      </c>
      <c r="E239" s="1" t="n">
        <v>11</v>
      </c>
    </row>
    <row r="240" customFormat="false" ht="14.65" hidden="false" customHeight="false" outlineLevel="0" collapsed="false">
      <c r="A240" s="1" t="s">
        <v>111</v>
      </c>
      <c r="B240" s="1" t="n">
        <v>3200</v>
      </c>
      <c r="C240" s="1" t="n">
        <v>38.3636</v>
      </c>
      <c r="D240" s="1" t="n">
        <v>107.1926</v>
      </c>
      <c r="E240" s="1" t="n">
        <v>11</v>
      </c>
    </row>
    <row r="241" customFormat="false" ht="14.65" hidden="false" customHeight="false" outlineLevel="0" collapsed="false">
      <c r="A241" s="1" t="s">
        <v>111</v>
      </c>
      <c r="B241" s="1" t="n">
        <v>3280</v>
      </c>
      <c r="C241" s="1" t="n">
        <v>25.8537</v>
      </c>
      <c r="D241" s="1" t="n">
        <v>67.8635</v>
      </c>
      <c r="E241" s="1" t="n">
        <v>205</v>
      </c>
    </row>
    <row r="242" customFormat="false" ht="14.65" hidden="false" customHeight="false" outlineLevel="0" collapsed="false">
      <c r="A242" s="1" t="s">
        <v>111</v>
      </c>
      <c r="B242" s="1" t="n">
        <v>3360</v>
      </c>
      <c r="C242" s="1" t="n">
        <v>19.2154</v>
      </c>
      <c r="D242" s="1" t="n">
        <v>48.1654</v>
      </c>
      <c r="E242" s="1" t="n">
        <v>130</v>
      </c>
    </row>
    <row r="243" customFormat="false" ht="14.65" hidden="false" customHeight="false" outlineLevel="0" collapsed="false">
      <c r="A243" s="1" t="s">
        <v>111</v>
      </c>
      <c r="B243" s="1" t="n">
        <v>3480</v>
      </c>
      <c r="C243" s="1" t="n">
        <v>18.7768</v>
      </c>
      <c r="D243" s="1" t="n">
        <v>51.8053</v>
      </c>
      <c r="E243" s="1" t="n">
        <v>551</v>
      </c>
    </row>
    <row r="244" customFormat="false" ht="14.65" hidden="false" customHeight="false" outlineLevel="0" collapsed="false">
      <c r="A244" s="1" t="s">
        <v>111</v>
      </c>
      <c r="B244" s="1" t="n">
        <v>3640</v>
      </c>
      <c r="C244" s="1" t="n">
        <v>51</v>
      </c>
      <c r="D244" s="1" t="n">
        <v>59.3443</v>
      </c>
      <c r="E244" s="1" t="n">
        <v>9</v>
      </c>
    </row>
    <row r="245" customFormat="false" ht="14.65" hidden="false" customHeight="false" outlineLevel="0" collapsed="false">
      <c r="A245" s="1" t="s">
        <v>111</v>
      </c>
      <c r="B245" s="1" t="n">
        <v>3690</v>
      </c>
      <c r="C245" s="1" t="n">
        <v>10.9091</v>
      </c>
      <c r="D245" s="1" t="n">
        <v>28.311</v>
      </c>
      <c r="E245" s="1" t="n">
        <v>22</v>
      </c>
    </row>
    <row r="246" customFormat="false" ht="14.65" hidden="false" customHeight="false" outlineLevel="0" collapsed="false">
      <c r="A246" s="1" t="s">
        <v>111</v>
      </c>
      <c r="B246" s="1" t="n">
        <v>3760</v>
      </c>
      <c r="C246" s="1" t="n">
        <v>26.9508</v>
      </c>
      <c r="D246" s="1" t="n">
        <v>60.9947</v>
      </c>
      <c r="E246" s="1" t="n">
        <v>61</v>
      </c>
    </row>
    <row r="247" customFormat="false" ht="14.65" hidden="false" customHeight="false" outlineLevel="0" collapsed="false">
      <c r="A247" s="1" t="s">
        <v>111</v>
      </c>
      <c r="B247" s="1" t="n">
        <v>3800</v>
      </c>
      <c r="C247" s="1" t="n">
        <v>120</v>
      </c>
      <c r="D247" s="1" t="n">
        <v>169.7056</v>
      </c>
      <c r="E247" s="1" t="n">
        <v>2</v>
      </c>
    </row>
    <row r="248" customFormat="false" ht="14.65" hidden="false" customHeight="false" outlineLevel="0" collapsed="false">
      <c r="A248" s="1" t="s">
        <v>111</v>
      </c>
      <c r="B248" s="1" t="n">
        <v>3965</v>
      </c>
      <c r="C248" s="1" t="n">
        <v>29.1765</v>
      </c>
      <c r="D248" s="1" t="n">
        <v>56.7608</v>
      </c>
      <c r="E248" s="1" t="n">
        <v>34</v>
      </c>
    </row>
    <row r="249" customFormat="false" ht="14.65" hidden="false" customHeight="false" outlineLevel="0" collapsed="false">
      <c r="A249" s="1" t="s">
        <v>111</v>
      </c>
      <c r="B249" s="1" t="n">
        <v>4160</v>
      </c>
      <c r="C249" s="1" t="n">
        <v>12.7143</v>
      </c>
      <c r="D249" s="1" t="n">
        <v>21.6003</v>
      </c>
      <c r="E249" s="1" t="n">
        <v>7</v>
      </c>
    </row>
    <row r="250" customFormat="false" ht="14.65" hidden="false" customHeight="false" outlineLevel="0" collapsed="false">
      <c r="A250" s="1" t="s">
        <v>111</v>
      </c>
      <c r="B250" s="1" t="n">
        <v>4440</v>
      </c>
      <c r="C250" s="1" t="n">
        <v>27.2222</v>
      </c>
      <c r="D250" s="1" t="n">
        <v>54.0319</v>
      </c>
      <c r="E250" s="1" t="n">
        <v>9</v>
      </c>
    </row>
    <row r="251" customFormat="false" ht="14.65" hidden="false" customHeight="false" outlineLevel="0" collapsed="false">
      <c r="A251" s="1" t="s">
        <v>111</v>
      </c>
      <c r="B251" s="1" t="n">
        <v>4480</v>
      </c>
      <c r="C251" s="1" t="n">
        <v>20.2299</v>
      </c>
      <c r="D251" s="1" t="n">
        <v>56.9532</v>
      </c>
      <c r="E251" s="1" t="n">
        <v>274</v>
      </c>
    </row>
    <row r="252" customFormat="false" ht="14.65" hidden="false" customHeight="false" outlineLevel="0" collapsed="false">
      <c r="A252" s="1" t="s">
        <v>111</v>
      </c>
      <c r="B252" s="1" t="n">
        <v>4560</v>
      </c>
      <c r="C252" s="1" t="n">
        <v>10.8889</v>
      </c>
      <c r="D252" s="1" t="n">
        <v>21.6128</v>
      </c>
      <c r="E252" s="1" t="n">
        <v>9</v>
      </c>
    </row>
    <row r="253" customFormat="false" ht="14.65" hidden="false" customHeight="false" outlineLevel="0" collapsed="false">
      <c r="A253" s="1" t="s">
        <v>111</v>
      </c>
      <c r="B253" s="1" t="n">
        <v>5000</v>
      </c>
      <c r="C253" s="1" t="n">
        <v>30.8723</v>
      </c>
      <c r="D253" s="1" t="n">
        <v>78.17</v>
      </c>
      <c r="E253" s="1" t="n">
        <v>47</v>
      </c>
    </row>
    <row r="254" customFormat="false" ht="14.65" hidden="false" customHeight="false" outlineLevel="0" collapsed="false">
      <c r="A254" s="1" t="s">
        <v>111</v>
      </c>
      <c r="B254" s="1" t="n">
        <v>5015</v>
      </c>
      <c r="C254" s="1" t="n">
        <v>26.5806</v>
      </c>
      <c r="D254" s="1" t="n">
        <v>57.9458</v>
      </c>
      <c r="E254" s="1" t="n">
        <v>31</v>
      </c>
    </row>
    <row r="255" customFormat="false" ht="14.65" hidden="false" customHeight="false" outlineLevel="0" collapsed="false">
      <c r="A255" s="1" t="s">
        <v>111</v>
      </c>
      <c r="B255" s="1" t="n">
        <v>5020</v>
      </c>
      <c r="C255" s="1" t="n">
        <v>26.8333</v>
      </c>
      <c r="D255" s="1" t="n">
        <v>57.9292</v>
      </c>
      <c r="E255" s="1" t="n">
        <v>12</v>
      </c>
    </row>
    <row r="256" customFormat="false" ht="14.65" hidden="false" customHeight="false" outlineLevel="0" collapsed="false">
      <c r="A256" s="1" t="s">
        <v>111</v>
      </c>
      <c r="B256" s="1" t="n">
        <v>5080</v>
      </c>
      <c r="C256" s="1" t="n">
        <v>21.6667</v>
      </c>
      <c r="D256" s="1" t="n">
        <v>40.229</v>
      </c>
      <c r="E256" s="1" t="n">
        <v>42</v>
      </c>
    </row>
    <row r="257" customFormat="false" ht="14.65" hidden="false" customHeight="false" outlineLevel="0" collapsed="false">
      <c r="A257" s="1" t="s">
        <v>111</v>
      </c>
      <c r="B257" s="1" t="n">
        <v>5120</v>
      </c>
      <c r="C257" s="1" t="n">
        <v>23.956</v>
      </c>
      <c r="D257" s="1" t="n">
        <v>59.6648</v>
      </c>
      <c r="E257" s="1" t="n">
        <v>91</v>
      </c>
    </row>
    <row r="258" customFormat="false" ht="14.65" hidden="false" customHeight="false" outlineLevel="0" collapsed="false">
      <c r="A258" s="1" t="s">
        <v>111</v>
      </c>
      <c r="B258" s="1" t="n">
        <v>5190</v>
      </c>
      <c r="C258" s="1" t="n">
        <v>31.549</v>
      </c>
      <c r="D258" s="1" t="n">
        <v>62.5224</v>
      </c>
      <c r="E258" s="1" t="n">
        <v>51</v>
      </c>
    </row>
    <row r="259" customFormat="false" ht="14.65" hidden="false" customHeight="false" outlineLevel="0" collapsed="false">
      <c r="A259" s="1" t="s">
        <v>111</v>
      </c>
      <c r="B259" s="1" t="n">
        <v>5350</v>
      </c>
      <c r="C259" s="1" t="n">
        <v>0</v>
      </c>
      <c r="D259" s="1" t="n">
        <v>0</v>
      </c>
      <c r="E259" s="1" t="n">
        <v>2</v>
      </c>
    </row>
    <row r="260" customFormat="false" ht="14.65" hidden="false" customHeight="false" outlineLevel="0" collapsed="false">
      <c r="A260" s="1" t="s">
        <v>111</v>
      </c>
      <c r="B260" s="1" t="n">
        <v>5380</v>
      </c>
      <c r="C260" s="1" t="n">
        <v>20.5085</v>
      </c>
      <c r="D260" s="1" t="n">
        <v>50.1397</v>
      </c>
      <c r="E260" s="1" t="n">
        <v>295</v>
      </c>
    </row>
    <row r="261" customFormat="false" ht="14.65" hidden="false" customHeight="false" outlineLevel="0" collapsed="false">
      <c r="A261" s="1" t="s">
        <v>111</v>
      </c>
      <c r="B261" s="1" t="n">
        <v>5440</v>
      </c>
      <c r="C261" s="1" t="n">
        <v>13.4727</v>
      </c>
      <c r="D261" s="1" t="n">
        <v>27.6002</v>
      </c>
      <c r="E261" s="1" t="n">
        <v>55</v>
      </c>
    </row>
    <row r="262" customFormat="false" ht="14.65" hidden="false" customHeight="false" outlineLevel="0" collapsed="false">
      <c r="A262" s="1" t="s">
        <v>111</v>
      </c>
      <c r="B262" s="1" t="n">
        <v>5560</v>
      </c>
      <c r="C262" s="1" t="n">
        <v>18.0811</v>
      </c>
      <c r="D262" s="1" t="n">
        <v>40.3556</v>
      </c>
      <c r="E262" s="1" t="n">
        <v>37</v>
      </c>
    </row>
    <row r="263" customFormat="false" ht="14.65" hidden="false" customHeight="false" outlineLevel="0" collapsed="false">
      <c r="A263" s="1" t="s">
        <v>111</v>
      </c>
      <c r="B263" s="1" t="n">
        <v>5600</v>
      </c>
      <c r="C263" s="1" t="n">
        <v>22.6465</v>
      </c>
      <c r="D263" s="1" t="n">
        <v>62.2086</v>
      </c>
      <c r="E263" s="1" t="n">
        <v>396</v>
      </c>
    </row>
    <row r="264" customFormat="false" ht="14.65" hidden="false" customHeight="false" outlineLevel="0" collapsed="false">
      <c r="A264" s="1" t="s">
        <v>111</v>
      </c>
      <c r="B264" s="1" t="n">
        <v>5640</v>
      </c>
      <c r="C264" s="1" t="n">
        <v>16.8194</v>
      </c>
      <c r="D264" s="1" t="n">
        <v>58.9708</v>
      </c>
      <c r="E264" s="1" t="n">
        <v>72</v>
      </c>
    </row>
    <row r="265" customFormat="false" ht="14.65" hidden="false" customHeight="false" outlineLevel="0" collapsed="false">
      <c r="A265" s="1" t="s">
        <v>111</v>
      </c>
      <c r="B265" s="1" t="n">
        <v>5700</v>
      </c>
      <c r="C265" s="1" t="n">
        <v>10</v>
      </c>
      <c r="D265" s="1" t="n">
        <v>12.5831</v>
      </c>
      <c r="E265" s="1" t="n">
        <v>7</v>
      </c>
    </row>
    <row r="266" customFormat="false" ht="14.65" hidden="false" customHeight="false" outlineLevel="0" collapsed="false">
      <c r="A266" s="1" t="s">
        <v>111</v>
      </c>
      <c r="B266" s="1" t="n">
        <v>5720</v>
      </c>
      <c r="C266" s="1" t="n">
        <v>27.9298</v>
      </c>
      <c r="D266" s="1" t="n">
        <v>84.1109</v>
      </c>
      <c r="E266" s="1" t="n">
        <v>57</v>
      </c>
    </row>
    <row r="267" customFormat="false" ht="14.65" hidden="false" customHeight="false" outlineLevel="0" collapsed="false">
      <c r="A267" s="1" t="s">
        <v>111</v>
      </c>
      <c r="B267" s="1" t="n">
        <v>5760</v>
      </c>
      <c r="C267" s="1" t="n">
        <v>12.561</v>
      </c>
      <c r="D267" s="1" t="n">
        <v>23.1107</v>
      </c>
      <c r="E267" s="1" t="n">
        <v>41</v>
      </c>
    </row>
    <row r="268" customFormat="false" ht="14.65" hidden="false" customHeight="false" outlineLevel="0" collapsed="false">
      <c r="A268" s="1" t="s">
        <v>111</v>
      </c>
      <c r="B268" s="1" t="n">
        <v>5775</v>
      </c>
      <c r="C268" s="1" t="n">
        <v>25.1154</v>
      </c>
      <c r="D268" s="1" t="n">
        <v>51.0554</v>
      </c>
      <c r="E268" s="1" t="n">
        <v>78</v>
      </c>
    </row>
    <row r="269" customFormat="false" ht="14.65" hidden="false" customHeight="false" outlineLevel="0" collapsed="false">
      <c r="A269" s="1" t="s">
        <v>111</v>
      </c>
      <c r="B269" s="1" t="n">
        <v>5950</v>
      </c>
      <c r="C269" s="1" t="n">
        <v>25.1429</v>
      </c>
      <c r="D269" s="1" t="n">
        <v>46.946</v>
      </c>
      <c r="E269" s="1" t="n">
        <v>21</v>
      </c>
    </row>
    <row r="270" customFormat="false" ht="14.65" hidden="false" customHeight="false" outlineLevel="0" collapsed="false">
      <c r="A270" s="1" t="s">
        <v>111</v>
      </c>
      <c r="B270" s="1" t="n">
        <v>5960</v>
      </c>
      <c r="C270" s="1" t="n">
        <v>20.9302</v>
      </c>
      <c r="D270" s="1" t="n">
        <v>48.8951</v>
      </c>
      <c r="E270" s="1" t="n">
        <v>43</v>
      </c>
    </row>
    <row r="271" customFormat="false" ht="14.65" hidden="false" customHeight="false" outlineLevel="0" collapsed="false">
      <c r="A271" s="1" t="s">
        <v>111</v>
      </c>
      <c r="B271" s="1" t="n">
        <v>6000</v>
      </c>
      <c r="C271" s="1" t="n">
        <v>15.2174</v>
      </c>
      <c r="D271" s="1" t="n">
        <v>30.1511</v>
      </c>
      <c r="E271" s="1" t="n">
        <v>23</v>
      </c>
    </row>
    <row r="272" customFormat="false" ht="14.65" hidden="false" customHeight="false" outlineLevel="0" collapsed="false">
      <c r="A272" s="1" t="s">
        <v>111</v>
      </c>
      <c r="B272" s="1" t="n">
        <v>6060</v>
      </c>
      <c r="C272" s="1" t="n">
        <v>13.3333</v>
      </c>
      <c r="D272" s="1" t="n">
        <v>30.2765</v>
      </c>
      <c r="E272" s="1" t="n">
        <v>6</v>
      </c>
    </row>
    <row r="273" customFormat="false" ht="14.65" hidden="false" customHeight="false" outlineLevel="0" collapsed="false">
      <c r="A273" s="1" t="s">
        <v>111</v>
      </c>
      <c r="B273" s="1" t="n">
        <v>6160</v>
      </c>
      <c r="C273" s="1" t="n">
        <v>25.3593</v>
      </c>
      <c r="D273" s="1" t="n">
        <v>61.9669</v>
      </c>
      <c r="E273" s="1" t="n">
        <v>167</v>
      </c>
    </row>
    <row r="274" customFormat="false" ht="14.65" hidden="false" customHeight="false" outlineLevel="0" collapsed="false">
      <c r="A274" s="1" t="s">
        <v>111</v>
      </c>
      <c r="B274" s="1" t="n">
        <v>6200</v>
      </c>
      <c r="C274" s="1" t="n">
        <v>38.5556</v>
      </c>
      <c r="D274" s="1" t="n">
        <v>65.6059</v>
      </c>
      <c r="E274" s="1" t="n">
        <v>90</v>
      </c>
    </row>
    <row r="275" customFormat="false" ht="14.65" hidden="false" customHeight="false" outlineLevel="0" collapsed="false">
      <c r="A275" s="1" t="s">
        <v>111</v>
      </c>
      <c r="B275" s="1" t="n">
        <v>6280</v>
      </c>
      <c r="C275" s="1" t="n">
        <v>27.2152</v>
      </c>
      <c r="D275" s="1" t="n">
        <v>56.3443</v>
      </c>
      <c r="E275" s="1" t="n">
        <v>79</v>
      </c>
    </row>
    <row r="276" customFormat="false" ht="14.65" hidden="false" customHeight="false" outlineLevel="0" collapsed="false">
      <c r="A276" s="1" t="s">
        <v>111</v>
      </c>
      <c r="B276" s="1" t="n">
        <v>6440</v>
      </c>
      <c r="C276" s="1" t="n">
        <v>18.0682</v>
      </c>
      <c r="D276" s="1" t="n">
        <v>52.631</v>
      </c>
      <c r="E276" s="1" t="n">
        <v>44</v>
      </c>
    </row>
    <row r="277" customFormat="false" ht="14.65" hidden="false" customHeight="false" outlineLevel="0" collapsed="false">
      <c r="A277" s="1" t="s">
        <v>111</v>
      </c>
      <c r="B277" s="1" t="n">
        <v>6480</v>
      </c>
      <c r="C277" s="1" t="n">
        <v>21.0833</v>
      </c>
      <c r="D277" s="1" t="n">
        <v>39.9346</v>
      </c>
      <c r="E277" s="1" t="n">
        <v>24</v>
      </c>
    </row>
    <row r="278" customFormat="false" ht="14.65" hidden="false" customHeight="false" outlineLevel="0" collapsed="false">
      <c r="A278" s="1" t="s">
        <v>111</v>
      </c>
      <c r="B278" s="1" t="n">
        <v>6600</v>
      </c>
      <c r="C278" s="1" t="n">
        <v>0</v>
      </c>
      <c r="D278" s="1" t="n">
        <v>0</v>
      </c>
      <c r="E278" s="1" t="n">
        <v>1</v>
      </c>
    </row>
    <row r="279" customFormat="false" ht="14.65" hidden="false" customHeight="false" outlineLevel="0" collapsed="false">
      <c r="A279" s="1" t="s">
        <v>111</v>
      </c>
      <c r="B279" s="1" t="n">
        <v>6780</v>
      </c>
      <c r="C279" s="1" t="n">
        <v>29.7363</v>
      </c>
      <c r="D279" s="1" t="n">
        <v>75.0872</v>
      </c>
      <c r="E279" s="1" t="n">
        <v>91</v>
      </c>
    </row>
    <row r="280" customFormat="false" ht="14.65" hidden="false" customHeight="false" outlineLevel="0" collapsed="false">
      <c r="A280" s="1" t="s">
        <v>111</v>
      </c>
      <c r="B280" s="1" t="n">
        <v>6840</v>
      </c>
      <c r="C280" s="1" t="n">
        <v>21.7917</v>
      </c>
      <c r="D280" s="1" t="n">
        <v>41.0397</v>
      </c>
      <c r="E280" s="1" t="n">
        <v>24</v>
      </c>
    </row>
    <row r="281" customFormat="false" ht="14.65" hidden="false" customHeight="false" outlineLevel="0" collapsed="false">
      <c r="A281" s="1" t="s">
        <v>111</v>
      </c>
      <c r="B281" s="1" t="n">
        <v>6920</v>
      </c>
      <c r="C281" s="1" t="n">
        <v>15.1875</v>
      </c>
      <c r="D281" s="1" t="n">
        <v>29.7083</v>
      </c>
      <c r="E281" s="1" t="n">
        <v>48</v>
      </c>
    </row>
    <row r="282" customFormat="false" ht="14.65" hidden="false" customHeight="false" outlineLevel="0" collapsed="false">
      <c r="A282" s="1" t="s">
        <v>111</v>
      </c>
      <c r="B282" s="1" t="n">
        <v>7040</v>
      </c>
      <c r="C282" s="1" t="n">
        <v>12.7143</v>
      </c>
      <c r="D282" s="1" t="n">
        <v>28.3793</v>
      </c>
      <c r="E282" s="1" t="n">
        <v>84</v>
      </c>
    </row>
    <row r="283" customFormat="false" ht="14.65" hidden="false" customHeight="false" outlineLevel="0" collapsed="false">
      <c r="A283" s="1" t="s">
        <v>111</v>
      </c>
      <c r="B283" s="1" t="n">
        <v>7090</v>
      </c>
      <c r="C283" s="1" t="n">
        <v>6.7</v>
      </c>
      <c r="D283" s="1" t="n">
        <v>15.9168</v>
      </c>
      <c r="E283" s="1" t="n">
        <v>10</v>
      </c>
    </row>
    <row r="284" customFormat="false" ht="14.65" hidden="false" customHeight="false" outlineLevel="0" collapsed="false">
      <c r="A284" s="1" t="s">
        <v>111</v>
      </c>
      <c r="B284" s="1" t="n">
        <v>7160</v>
      </c>
      <c r="C284" s="1" t="n">
        <v>18.5</v>
      </c>
      <c r="D284" s="1" t="n">
        <v>49.1155</v>
      </c>
      <c r="E284" s="1" t="n">
        <v>30</v>
      </c>
    </row>
    <row r="285" customFormat="false" ht="14.65" hidden="false" customHeight="false" outlineLevel="0" collapsed="false">
      <c r="A285" s="1" t="s">
        <v>111</v>
      </c>
      <c r="B285" s="1" t="n">
        <v>7240</v>
      </c>
      <c r="C285" s="1" t="n">
        <v>18.8667</v>
      </c>
      <c r="D285" s="1" t="n">
        <v>37.3873</v>
      </c>
      <c r="E285" s="1" t="n">
        <v>60</v>
      </c>
    </row>
    <row r="286" customFormat="false" ht="14.65" hidden="false" customHeight="false" outlineLevel="0" collapsed="false">
      <c r="A286" s="1" t="s">
        <v>111</v>
      </c>
      <c r="B286" s="1" t="n">
        <v>7320</v>
      </c>
      <c r="C286" s="1" t="n">
        <v>21.9403</v>
      </c>
      <c r="D286" s="1" t="n">
        <v>53.081</v>
      </c>
      <c r="E286" s="1" t="n">
        <v>134</v>
      </c>
    </row>
    <row r="287" customFormat="false" ht="14.65" hidden="false" customHeight="false" outlineLevel="0" collapsed="false">
      <c r="A287" s="1" t="s">
        <v>111</v>
      </c>
      <c r="B287" s="1" t="n">
        <v>7360</v>
      </c>
      <c r="C287" s="1" t="n">
        <v>25.42</v>
      </c>
      <c r="D287" s="1" t="n">
        <v>45.1307</v>
      </c>
      <c r="E287" s="1" t="n">
        <v>50</v>
      </c>
    </row>
    <row r="288" customFormat="false" ht="14.65" hidden="false" customHeight="false" outlineLevel="0" collapsed="false">
      <c r="A288" s="1" t="s">
        <v>111</v>
      </c>
      <c r="B288" s="1" t="n">
        <v>7400</v>
      </c>
      <c r="C288" s="1" t="n">
        <v>10.2889</v>
      </c>
      <c r="D288" s="1" t="n">
        <v>18.3038</v>
      </c>
      <c r="E288" s="1" t="n">
        <v>45</v>
      </c>
    </row>
    <row r="289" customFormat="false" ht="14.65" hidden="false" customHeight="false" outlineLevel="0" collapsed="false">
      <c r="A289" s="1" t="s">
        <v>111</v>
      </c>
      <c r="B289" s="1" t="n">
        <v>7485</v>
      </c>
      <c r="C289" s="1" t="n">
        <v>6.875</v>
      </c>
      <c r="D289" s="1" t="n">
        <v>14.3769</v>
      </c>
      <c r="E289" s="1" t="n">
        <v>8</v>
      </c>
    </row>
    <row r="290" customFormat="false" ht="14.65" hidden="false" customHeight="false" outlineLevel="0" collapsed="false">
      <c r="A290" s="1" t="s">
        <v>111</v>
      </c>
      <c r="B290" s="1" t="n">
        <v>7500</v>
      </c>
      <c r="C290" s="1" t="n">
        <v>13.3333</v>
      </c>
      <c r="D290" s="1" t="n">
        <v>28.7887</v>
      </c>
      <c r="E290" s="1" t="n">
        <v>12</v>
      </c>
    </row>
    <row r="291" customFormat="false" ht="14.65" hidden="false" customHeight="false" outlineLevel="0" collapsed="false">
      <c r="A291" s="1" t="s">
        <v>111</v>
      </c>
      <c r="B291" s="1" t="n">
        <v>7600</v>
      </c>
      <c r="C291" s="1" t="n">
        <v>20.3247</v>
      </c>
      <c r="D291" s="1" t="n">
        <v>62.7137</v>
      </c>
      <c r="E291" s="1" t="n">
        <v>77</v>
      </c>
    </row>
    <row r="292" customFormat="false" ht="14.65" hidden="false" customHeight="false" outlineLevel="0" collapsed="false">
      <c r="A292" s="1" t="s">
        <v>111</v>
      </c>
      <c r="B292" s="1" t="n">
        <v>8040</v>
      </c>
      <c r="C292" s="1" t="n">
        <v>18.8667</v>
      </c>
      <c r="D292" s="1" t="n">
        <v>51.8442</v>
      </c>
      <c r="E292" s="1" t="n">
        <v>75</v>
      </c>
    </row>
    <row r="293" customFormat="false" ht="14.65" hidden="false" customHeight="false" outlineLevel="0" collapsed="false">
      <c r="A293" s="1" t="s">
        <v>111</v>
      </c>
      <c r="B293" s="1" t="n">
        <v>8200</v>
      </c>
      <c r="C293" s="1" t="n">
        <v>8.4762</v>
      </c>
      <c r="D293" s="1" t="n">
        <v>16.2223</v>
      </c>
      <c r="E293" s="1" t="n">
        <v>21</v>
      </c>
    </row>
    <row r="294" customFormat="false" ht="14.65" hidden="false" customHeight="false" outlineLevel="0" collapsed="false">
      <c r="A294" s="1" t="s">
        <v>111</v>
      </c>
      <c r="B294" s="1" t="n">
        <v>8280</v>
      </c>
      <c r="C294" s="1" t="n">
        <v>18.0571</v>
      </c>
      <c r="D294" s="1" t="n">
        <v>39.8508</v>
      </c>
      <c r="E294" s="1" t="n">
        <v>70</v>
      </c>
    </row>
    <row r="295" customFormat="false" ht="14.65" hidden="false" customHeight="false" outlineLevel="0" collapsed="false">
      <c r="A295" s="1" t="s">
        <v>111</v>
      </c>
      <c r="B295" s="1" t="n">
        <v>8480</v>
      </c>
      <c r="C295" s="1" t="n">
        <v>23</v>
      </c>
      <c r="D295" s="1" t="n">
        <v>30.0922</v>
      </c>
      <c r="E295" s="1" t="n">
        <v>14</v>
      </c>
    </row>
    <row r="296" customFormat="false" ht="14.65" hidden="false" customHeight="false" outlineLevel="0" collapsed="false">
      <c r="A296" s="1" t="s">
        <v>111</v>
      </c>
      <c r="B296" s="1" t="n">
        <v>8720</v>
      </c>
      <c r="C296" s="1" t="n">
        <v>9.5294</v>
      </c>
      <c r="D296" s="1" t="n">
        <v>26.8098</v>
      </c>
      <c r="E296" s="1" t="n">
        <v>17</v>
      </c>
    </row>
    <row r="297" customFormat="false" ht="14.65" hidden="false" customHeight="false" outlineLevel="0" collapsed="false">
      <c r="A297" s="1" t="s">
        <v>111</v>
      </c>
      <c r="B297" s="1" t="n">
        <v>8725</v>
      </c>
      <c r="C297" s="1" t="n">
        <v>10</v>
      </c>
      <c r="D297" s="1" t="n">
        <v>13.6931</v>
      </c>
      <c r="E297" s="1" t="n">
        <v>5</v>
      </c>
    </row>
    <row r="298" customFormat="false" ht="14.65" hidden="false" customHeight="false" outlineLevel="0" collapsed="false">
      <c r="A298" s="1" t="s">
        <v>111</v>
      </c>
      <c r="B298" s="1" t="n">
        <v>8760</v>
      </c>
      <c r="C298" s="1" t="n">
        <v>56.6667</v>
      </c>
      <c r="D298" s="1" t="n">
        <v>98.1495</v>
      </c>
      <c r="E298" s="1" t="n">
        <v>3</v>
      </c>
    </row>
    <row r="299" customFormat="false" ht="14.65" hidden="false" customHeight="false" outlineLevel="0" collapsed="false">
      <c r="A299" s="1" t="s">
        <v>111</v>
      </c>
      <c r="B299" s="1" t="n">
        <v>8840</v>
      </c>
      <c r="C299" s="1" t="n">
        <v>17.038</v>
      </c>
      <c r="D299" s="1" t="n">
        <v>52.4251</v>
      </c>
      <c r="E299" s="1" t="n">
        <v>184</v>
      </c>
    </row>
    <row r="300" customFormat="false" ht="14.65" hidden="false" customHeight="false" outlineLevel="0" collapsed="false">
      <c r="A300" s="1" t="s">
        <v>111</v>
      </c>
      <c r="B300" s="1" t="n">
        <v>9160</v>
      </c>
      <c r="C300" s="1" t="n">
        <v>11</v>
      </c>
      <c r="D300" s="1" t="n">
        <v>15.9422</v>
      </c>
      <c r="E300" s="1" t="n">
        <v>14</v>
      </c>
    </row>
    <row r="302" customFormat="false" ht="14.65" hidden="false" customHeight="false" outlineLevel="0" collapsed="false">
      <c r="B302" s="1" t="s">
        <v>14</v>
      </c>
      <c r="C302" s="1" t="s">
        <v>15</v>
      </c>
      <c r="D302" s="1" t="s">
        <v>16</v>
      </c>
      <c r="E302" s="1" t="n">
        <v>8159</v>
      </c>
    </row>
    <row r="303" customFormat="false" ht="14.65" hidden="false" customHeight="false" outlineLevel="0" collapsed="false">
      <c r="A303" s="1" t="s">
        <v>112</v>
      </c>
      <c r="B303" s="1" t="s">
        <v>15</v>
      </c>
      <c r="C303" s="1" t="s">
        <v>16</v>
      </c>
      <c r="D303" s="1" t="n">
        <v>2339</v>
      </c>
      <c r="E303" s="1" t="s">
        <v>113</v>
      </c>
      <c r="F303" s="1" t="n">
        <v>28.7</v>
      </c>
      <c r="G303" s="1" t="s">
        <v>114</v>
      </c>
    </row>
    <row r="304" customFormat="false" ht="14.65" hidden="false" customHeight="false" outlineLevel="0" collapsed="false">
      <c r="A304" s="1" t="s">
        <v>17</v>
      </c>
    </row>
    <row r="305" customFormat="false" ht="14.65" hidden="false" customHeight="false" outlineLevel="0" collapsed="false">
      <c r="A305" s="1" t="s">
        <v>18</v>
      </c>
      <c r="B305" s="1" t="n">
        <v>50</v>
      </c>
      <c r="C305" s="1" t="s">
        <v>19</v>
      </c>
      <c r="D305" s="2" t="n">
        <v>33957</v>
      </c>
    </row>
    <row r="307" customFormat="false" ht="14.65" hidden="false" customHeight="false" outlineLevel="0" collapsed="false">
      <c r="A307" s="1" t="s">
        <v>0</v>
      </c>
      <c r="B307" s="1" t="s">
        <v>1</v>
      </c>
      <c r="C307" s="1" t="s">
        <v>22</v>
      </c>
    </row>
    <row r="308" customFormat="false" ht="14.65" hidden="false" customHeight="false" outlineLevel="0" collapsed="false">
      <c r="A308" s="1" t="s">
        <v>3</v>
      </c>
      <c r="B308" s="1" t="s">
        <v>4</v>
      </c>
      <c r="C308" s="1" t="s">
        <v>1</v>
      </c>
      <c r="D308" s="1" t="s">
        <v>111</v>
      </c>
    </row>
    <row r="310" customFormat="false" ht="14.65" hidden="false" customHeight="false" outlineLevel="0" collapsed="false">
      <c r="A310" s="1" t="s">
        <v>6</v>
      </c>
      <c r="B310" s="1" t="s">
        <v>7</v>
      </c>
      <c r="C310" s="1" t="s">
        <v>48</v>
      </c>
      <c r="D310" s="1" t="s">
        <v>8</v>
      </c>
      <c r="E310" s="1" t="s">
        <v>49</v>
      </c>
      <c r="F310" s="1" t="s">
        <v>50</v>
      </c>
      <c r="G310" s="1" t="s">
        <v>15</v>
      </c>
    </row>
    <row r="312" customFormat="false" ht="14.65" hidden="false" customHeight="false" outlineLevel="0" collapsed="false">
      <c r="A312" s="1" t="s">
        <v>12</v>
      </c>
      <c r="B312" s="1" t="s">
        <v>13</v>
      </c>
      <c r="C312" s="1" t="s">
        <v>84</v>
      </c>
      <c r="D312" s="1" t="n">
        <v>105.9603</v>
      </c>
      <c r="E312" s="1" t="n">
        <v>154.7416</v>
      </c>
      <c r="F312" s="1" t="n">
        <v>5820</v>
      </c>
    </row>
    <row r="314" customFormat="false" ht="14.65" hidden="false" customHeight="false" outlineLevel="0" collapsed="false">
      <c r="A314" s="1" t="s">
        <v>111</v>
      </c>
      <c r="B314" s="1" t="n">
        <v>80</v>
      </c>
      <c r="C314" s="1" t="n">
        <v>156.9048</v>
      </c>
      <c r="D314" s="1" t="n">
        <v>164.7155</v>
      </c>
      <c r="E314" s="1" t="n">
        <v>21</v>
      </c>
    </row>
    <row r="315" customFormat="false" ht="14.65" hidden="false" customHeight="false" outlineLevel="0" collapsed="false">
      <c r="A315" s="1" t="s">
        <v>111</v>
      </c>
      <c r="B315" s="1" t="n">
        <v>360</v>
      </c>
      <c r="C315" s="1" t="n">
        <v>113.8407</v>
      </c>
      <c r="D315" s="1" t="n">
        <v>151.585</v>
      </c>
      <c r="E315" s="1" t="n">
        <v>113</v>
      </c>
    </row>
    <row r="316" customFormat="false" ht="14.65" hidden="false" customHeight="false" outlineLevel="0" collapsed="false">
      <c r="A316" s="1" t="s">
        <v>111</v>
      </c>
      <c r="B316" s="1" t="n">
        <v>440</v>
      </c>
      <c r="C316" s="1" t="n">
        <v>125.5556</v>
      </c>
      <c r="D316" s="1" t="n">
        <v>175.8416</v>
      </c>
      <c r="E316" s="1" t="n">
        <v>18</v>
      </c>
    </row>
    <row r="317" customFormat="false" ht="14.65" hidden="false" customHeight="false" outlineLevel="0" collapsed="false">
      <c r="A317" s="1" t="s">
        <v>111</v>
      </c>
      <c r="B317" s="1" t="n">
        <v>520</v>
      </c>
      <c r="C317" s="1" t="n">
        <v>89.6832</v>
      </c>
      <c r="D317" s="1" t="n">
        <v>130.3661</v>
      </c>
      <c r="E317" s="1" t="n">
        <v>101</v>
      </c>
    </row>
    <row r="318" customFormat="false" ht="14.65" hidden="false" customHeight="false" outlineLevel="0" collapsed="false">
      <c r="A318" s="1" t="s">
        <v>111</v>
      </c>
      <c r="B318" s="1" t="n">
        <v>620</v>
      </c>
      <c r="C318" s="1" t="n">
        <v>54.2667</v>
      </c>
      <c r="D318" s="1" t="n">
        <v>97.0548</v>
      </c>
      <c r="E318" s="1" t="n">
        <v>15</v>
      </c>
    </row>
    <row r="319" customFormat="false" ht="14.65" hidden="false" customHeight="false" outlineLevel="0" collapsed="false">
      <c r="A319" s="1" t="s">
        <v>111</v>
      </c>
      <c r="B319" s="1" t="n">
        <v>720</v>
      </c>
      <c r="C319" s="1" t="n">
        <v>108.2209</v>
      </c>
      <c r="D319" s="1" t="n">
        <v>188.4095</v>
      </c>
      <c r="E319" s="1" t="n">
        <v>86</v>
      </c>
    </row>
    <row r="320" customFormat="false" ht="14.65" hidden="false" customHeight="false" outlineLevel="0" collapsed="false">
      <c r="A320" s="1" t="s">
        <v>111</v>
      </c>
      <c r="B320" s="1" t="n">
        <v>845</v>
      </c>
      <c r="C320" s="1" t="n">
        <v>66.2857</v>
      </c>
      <c r="D320" s="1" t="n">
        <v>92.617</v>
      </c>
      <c r="E320" s="1" t="n">
        <v>7</v>
      </c>
    </row>
    <row r="321" customFormat="false" ht="14.65" hidden="false" customHeight="false" outlineLevel="0" collapsed="false">
      <c r="A321" s="1" t="s">
        <v>111</v>
      </c>
      <c r="B321" s="1" t="n">
        <v>875</v>
      </c>
      <c r="C321" s="1" t="n">
        <v>100.8852</v>
      </c>
      <c r="D321" s="1" t="n">
        <v>138.2136</v>
      </c>
      <c r="E321" s="1" t="n">
        <v>61</v>
      </c>
    </row>
    <row r="322" customFormat="false" ht="14.65" hidden="false" customHeight="false" outlineLevel="0" collapsed="false">
      <c r="A322" s="1" t="s">
        <v>111</v>
      </c>
      <c r="B322" s="1" t="n">
        <v>1120</v>
      </c>
      <c r="C322" s="1" t="n">
        <v>113.0253</v>
      </c>
      <c r="D322" s="1" t="n">
        <v>135.5611</v>
      </c>
      <c r="E322" s="1" t="n">
        <v>79</v>
      </c>
    </row>
    <row r="323" customFormat="false" ht="14.65" hidden="false" customHeight="false" outlineLevel="0" collapsed="false">
      <c r="A323" s="1" t="s">
        <v>111</v>
      </c>
      <c r="B323" s="1" t="n">
        <v>1125</v>
      </c>
      <c r="C323" s="1" t="n">
        <v>173</v>
      </c>
      <c r="D323" s="1" t="n">
        <v>269.7592</v>
      </c>
      <c r="E323" s="1" t="n">
        <v>5</v>
      </c>
    </row>
    <row r="324" customFormat="false" ht="14.65" hidden="false" customHeight="false" outlineLevel="0" collapsed="false">
      <c r="A324" s="1" t="s">
        <v>111</v>
      </c>
      <c r="B324" s="1" t="n">
        <v>1160</v>
      </c>
      <c r="C324" s="1" t="n">
        <v>125.3258</v>
      </c>
      <c r="D324" s="1" t="n">
        <v>171.7584</v>
      </c>
      <c r="E324" s="1" t="n">
        <v>132</v>
      </c>
    </row>
    <row r="325" customFormat="false" ht="14.65" hidden="false" customHeight="false" outlineLevel="0" collapsed="false">
      <c r="A325" s="1" t="s">
        <v>111</v>
      </c>
      <c r="B325" s="1" t="n">
        <v>1170</v>
      </c>
      <c r="C325" s="1" t="n">
        <v>125.7931</v>
      </c>
      <c r="D325" s="1" t="n">
        <v>162.9613</v>
      </c>
      <c r="E325" s="1" t="n">
        <v>29</v>
      </c>
    </row>
    <row r="326" customFormat="false" ht="14.65" hidden="false" customHeight="false" outlineLevel="0" collapsed="false">
      <c r="A326" s="1" t="s">
        <v>111</v>
      </c>
      <c r="B326" s="1" t="n">
        <v>1200</v>
      </c>
      <c r="C326" s="1" t="n">
        <v>8.8333</v>
      </c>
      <c r="D326" s="1" t="n">
        <v>21.6372</v>
      </c>
      <c r="E326" s="1" t="n">
        <v>6</v>
      </c>
    </row>
    <row r="327" customFormat="false" ht="14.65" hidden="false" customHeight="false" outlineLevel="0" collapsed="false">
      <c r="A327" s="1" t="s">
        <v>111</v>
      </c>
      <c r="B327" s="1" t="n">
        <v>1280</v>
      </c>
      <c r="C327" s="1" t="n">
        <v>55.2941</v>
      </c>
      <c r="D327" s="1" t="n">
        <v>104.1128</v>
      </c>
      <c r="E327" s="1" t="n">
        <v>17</v>
      </c>
    </row>
    <row r="328" customFormat="false" ht="14.65" hidden="false" customHeight="false" outlineLevel="0" collapsed="false">
      <c r="A328" s="1" t="s">
        <v>111</v>
      </c>
      <c r="B328" s="1" t="n">
        <v>1520</v>
      </c>
      <c r="C328" s="1" t="n">
        <v>126.4889</v>
      </c>
      <c r="D328" s="1" t="n">
        <v>155.0265</v>
      </c>
      <c r="E328" s="1" t="n">
        <v>45</v>
      </c>
    </row>
    <row r="329" customFormat="false" ht="14.65" hidden="false" customHeight="false" outlineLevel="0" collapsed="false">
      <c r="A329" s="1" t="s">
        <v>111</v>
      </c>
      <c r="B329" s="1" t="n">
        <v>1600</v>
      </c>
      <c r="C329" s="1" t="n">
        <v>108.3395</v>
      </c>
      <c r="D329" s="1" t="n">
        <v>168.6707</v>
      </c>
      <c r="E329" s="1" t="n">
        <v>215</v>
      </c>
    </row>
    <row r="330" customFormat="false" ht="14.65" hidden="false" customHeight="false" outlineLevel="0" collapsed="false">
      <c r="A330" s="1" t="s">
        <v>111</v>
      </c>
      <c r="B330" s="1" t="n">
        <v>1640</v>
      </c>
      <c r="C330" s="1" t="n">
        <v>113.8571</v>
      </c>
      <c r="D330" s="1" t="n">
        <v>137.6375</v>
      </c>
      <c r="E330" s="1" t="n">
        <v>56</v>
      </c>
    </row>
    <row r="331" customFormat="false" ht="14.65" hidden="false" customHeight="false" outlineLevel="0" collapsed="false">
      <c r="A331" s="1" t="s">
        <v>111</v>
      </c>
      <c r="B331" s="1" t="n">
        <v>1680</v>
      </c>
      <c r="C331" s="1" t="n">
        <v>110.623</v>
      </c>
      <c r="D331" s="1" t="n">
        <v>160.0583</v>
      </c>
      <c r="E331" s="1" t="n">
        <v>61</v>
      </c>
    </row>
    <row r="332" customFormat="false" ht="14.65" hidden="false" customHeight="false" outlineLevel="0" collapsed="false">
      <c r="A332" s="1" t="s">
        <v>111</v>
      </c>
      <c r="B332" s="1" t="n">
        <v>1840</v>
      </c>
      <c r="C332" s="1" t="n">
        <v>149.3818</v>
      </c>
      <c r="D332" s="1" t="n">
        <v>192.6117</v>
      </c>
      <c r="E332" s="1" t="n">
        <v>55</v>
      </c>
    </row>
    <row r="333" customFormat="false" ht="14.65" hidden="false" customHeight="false" outlineLevel="0" collapsed="false">
      <c r="A333" s="1" t="s">
        <v>111</v>
      </c>
      <c r="B333" s="1" t="n">
        <v>1920</v>
      </c>
      <c r="C333" s="1" t="n">
        <v>90.9545</v>
      </c>
      <c r="D333" s="1" t="n">
        <v>119.7537</v>
      </c>
      <c r="E333" s="1" t="n">
        <v>88</v>
      </c>
    </row>
    <row r="334" customFormat="false" ht="14.65" hidden="false" customHeight="false" outlineLevel="0" collapsed="false">
      <c r="A334" s="1" t="s">
        <v>111</v>
      </c>
      <c r="B334" s="1" t="n">
        <v>1930</v>
      </c>
      <c r="C334" s="1" t="n">
        <v>115.6981</v>
      </c>
      <c r="D334" s="1" t="n">
        <v>158.4081</v>
      </c>
      <c r="E334" s="1" t="n">
        <v>53</v>
      </c>
    </row>
    <row r="335" customFormat="false" ht="14.65" hidden="false" customHeight="false" outlineLevel="0" collapsed="false">
      <c r="A335" s="1" t="s">
        <v>111</v>
      </c>
      <c r="B335" s="1" t="n">
        <v>2080</v>
      </c>
      <c r="C335" s="1" t="n">
        <v>90.2243</v>
      </c>
      <c r="D335" s="1" t="n">
        <v>138.9989</v>
      </c>
      <c r="E335" s="1" t="n">
        <v>107</v>
      </c>
    </row>
    <row r="336" customFormat="false" ht="14.65" hidden="false" customHeight="false" outlineLevel="0" collapsed="false">
      <c r="A336" s="1" t="s">
        <v>111</v>
      </c>
      <c r="B336" s="1" t="n">
        <v>2160</v>
      </c>
      <c r="C336" s="1" t="n">
        <v>109.7536</v>
      </c>
      <c r="D336" s="1" t="n">
        <v>147.2138</v>
      </c>
      <c r="E336" s="1" t="n">
        <v>138</v>
      </c>
    </row>
    <row r="337" customFormat="false" ht="14.65" hidden="false" customHeight="false" outlineLevel="0" collapsed="false">
      <c r="A337" s="1" t="s">
        <v>111</v>
      </c>
      <c r="B337" s="1" t="n">
        <v>2680</v>
      </c>
      <c r="C337" s="1" t="n">
        <v>138.0233</v>
      </c>
      <c r="D337" s="1" t="n">
        <v>153.7217</v>
      </c>
      <c r="E337" s="1" t="n">
        <v>43</v>
      </c>
    </row>
    <row r="338" customFormat="false" ht="14.65" hidden="false" customHeight="false" outlineLevel="0" collapsed="false">
      <c r="A338" s="1" t="s">
        <v>111</v>
      </c>
      <c r="B338" s="1" t="n">
        <v>2800</v>
      </c>
      <c r="C338" s="1" t="n">
        <v>90.619</v>
      </c>
      <c r="D338" s="1" t="n">
        <v>131.9423</v>
      </c>
      <c r="E338" s="1" t="n">
        <v>42</v>
      </c>
    </row>
    <row r="339" customFormat="false" ht="14.65" hidden="false" customHeight="false" outlineLevel="0" collapsed="false">
      <c r="A339" s="1" t="s">
        <v>111</v>
      </c>
      <c r="B339" s="1" t="n">
        <v>2920</v>
      </c>
      <c r="C339" s="1" t="n">
        <v>41.5</v>
      </c>
      <c r="D339" s="1" t="n">
        <v>47.9201</v>
      </c>
      <c r="E339" s="1" t="n">
        <v>4</v>
      </c>
    </row>
    <row r="340" customFormat="false" ht="14.65" hidden="false" customHeight="false" outlineLevel="0" collapsed="false">
      <c r="A340" s="1" t="s">
        <v>111</v>
      </c>
      <c r="B340" s="1" t="n">
        <v>2960</v>
      </c>
      <c r="C340" s="1" t="n">
        <v>102.9091</v>
      </c>
      <c r="D340" s="1" t="n">
        <v>101.0054</v>
      </c>
      <c r="E340" s="1" t="n">
        <v>11</v>
      </c>
    </row>
    <row r="341" customFormat="false" ht="14.65" hidden="false" customHeight="false" outlineLevel="0" collapsed="false">
      <c r="A341" s="1" t="s">
        <v>111</v>
      </c>
      <c r="B341" s="1" t="n">
        <v>3200</v>
      </c>
      <c r="C341" s="1" t="n">
        <v>25.8182</v>
      </c>
      <c r="D341" s="1" t="n">
        <v>40.568</v>
      </c>
      <c r="E341" s="1" t="n">
        <v>11</v>
      </c>
    </row>
    <row r="342" customFormat="false" ht="14.65" hidden="false" customHeight="false" outlineLevel="0" collapsed="false">
      <c r="A342" s="1" t="s">
        <v>111</v>
      </c>
      <c r="B342" s="1" t="n">
        <v>3280</v>
      </c>
      <c r="C342" s="1" t="n">
        <v>109.2878</v>
      </c>
      <c r="D342" s="1" t="n">
        <v>149.651</v>
      </c>
      <c r="E342" s="1" t="n">
        <v>205</v>
      </c>
    </row>
    <row r="343" customFormat="false" ht="14.65" hidden="false" customHeight="false" outlineLevel="0" collapsed="false">
      <c r="A343" s="1" t="s">
        <v>111</v>
      </c>
      <c r="B343" s="1" t="n">
        <v>3360</v>
      </c>
      <c r="C343" s="1" t="n">
        <v>135.1308</v>
      </c>
      <c r="D343" s="1" t="n">
        <v>171.1443</v>
      </c>
      <c r="E343" s="1" t="n">
        <v>130</v>
      </c>
    </row>
    <row r="344" customFormat="false" ht="14.65" hidden="false" customHeight="false" outlineLevel="0" collapsed="false">
      <c r="A344" s="1" t="s">
        <v>111</v>
      </c>
      <c r="B344" s="1" t="n">
        <v>3480</v>
      </c>
      <c r="C344" s="1" t="n">
        <v>112.1706</v>
      </c>
      <c r="D344" s="1" t="n">
        <v>161.5431</v>
      </c>
      <c r="E344" s="1" t="n">
        <v>551</v>
      </c>
    </row>
    <row r="345" customFormat="false" ht="14.65" hidden="false" customHeight="false" outlineLevel="0" collapsed="false">
      <c r="A345" s="1" t="s">
        <v>111</v>
      </c>
      <c r="B345" s="1" t="n">
        <v>3640</v>
      </c>
      <c r="C345" s="1" t="n">
        <v>68.7778</v>
      </c>
      <c r="D345" s="1" t="n">
        <v>116.7109</v>
      </c>
      <c r="E345" s="1" t="n">
        <v>9</v>
      </c>
    </row>
    <row r="346" customFormat="false" ht="14.65" hidden="false" customHeight="false" outlineLevel="0" collapsed="false">
      <c r="A346" s="1" t="s">
        <v>111</v>
      </c>
      <c r="B346" s="1" t="n">
        <v>3690</v>
      </c>
      <c r="C346" s="1" t="n">
        <v>66.1364</v>
      </c>
      <c r="D346" s="1" t="n">
        <v>106.8525</v>
      </c>
      <c r="E346" s="1" t="n">
        <v>22</v>
      </c>
    </row>
    <row r="347" customFormat="false" ht="14.65" hidden="false" customHeight="false" outlineLevel="0" collapsed="false">
      <c r="A347" s="1" t="s">
        <v>111</v>
      </c>
      <c r="B347" s="1" t="n">
        <v>3760</v>
      </c>
      <c r="C347" s="1" t="n">
        <v>157.1475</v>
      </c>
      <c r="D347" s="1" t="n">
        <v>166.8365</v>
      </c>
      <c r="E347" s="1" t="n">
        <v>61</v>
      </c>
    </row>
    <row r="348" customFormat="false" ht="14.65" hidden="false" customHeight="false" outlineLevel="0" collapsed="false">
      <c r="A348" s="1" t="s">
        <v>111</v>
      </c>
      <c r="B348" s="1" t="n">
        <v>3800</v>
      </c>
      <c r="C348" s="1" t="n">
        <v>0</v>
      </c>
      <c r="D348" s="1" t="n">
        <v>0</v>
      </c>
      <c r="E348" s="1" t="n">
        <v>2</v>
      </c>
    </row>
    <row r="349" customFormat="false" ht="14.65" hidden="false" customHeight="false" outlineLevel="0" collapsed="false">
      <c r="A349" s="1" t="s">
        <v>111</v>
      </c>
      <c r="B349" s="1" t="n">
        <v>3965</v>
      </c>
      <c r="C349" s="1" t="n">
        <v>57.2353</v>
      </c>
      <c r="D349" s="1" t="n">
        <v>118.9163</v>
      </c>
      <c r="E349" s="1" t="n">
        <v>34</v>
      </c>
    </row>
    <row r="350" customFormat="false" ht="14.65" hidden="false" customHeight="false" outlineLevel="0" collapsed="false">
      <c r="A350" s="1" t="s">
        <v>111</v>
      </c>
      <c r="B350" s="1" t="n">
        <v>4160</v>
      </c>
      <c r="C350" s="1" t="n">
        <v>79.2857</v>
      </c>
      <c r="D350" s="1" t="n">
        <v>171.5719</v>
      </c>
      <c r="E350" s="1" t="n">
        <v>7</v>
      </c>
    </row>
    <row r="351" customFormat="false" ht="14.65" hidden="false" customHeight="false" outlineLevel="0" collapsed="false">
      <c r="A351" s="1" t="s">
        <v>111</v>
      </c>
      <c r="B351" s="1" t="n">
        <v>4440</v>
      </c>
      <c r="C351" s="1" t="n">
        <v>96.8889</v>
      </c>
      <c r="D351" s="1" t="n">
        <v>87.0825</v>
      </c>
      <c r="E351" s="1" t="n">
        <v>9</v>
      </c>
    </row>
    <row r="352" customFormat="false" ht="14.65" hidden="false" customHeight="false" outlineLevel="0" collapsed="false">
      <c r="A352" s="1" t="s">
        <v>111</v>
      </c>
      <c r="B352" s="1" t="n">
        <v>4480</v>
      </c>
      <c r="C352" s="1" t="n">
        <v>108.1022</v>
      </c>
      <c r="D352" s="1" t="n">
        <v>154.4431</v>
      </c>
      <c r="E352" s="1" t="n">
        <v>274</v>
      </c>
    </row>
    <row r="353" customFormat="false" ht="14.65" hidden="false" customHeight="false" outlineLevel="0" collapsed="false">
      <c r="A353" s="1" t="s">
        <v>111</v>
      </c>
      <c r="B353" s="1" t="n">
        <v>4560</v>
      </c>
      <c r="C353" s="1" t="n">
        <v>300</v>
      </c>
      <c r="D353" s="1" t="n">
        <v>243.7981</v>
      </c>
      <c r="E353" s="1" t="n">
        <v>9</v>
      </c>
    </row>
    <row r="354" customFormat="false" ht="14.65" hidden="false" customHeight="false" outlineLevel="0" collapsed="false">
      <c r="A354" s="1" t="s">
        <v>111</v>
      </c>
      <c r="B354" s="1" t="n">
        <v>5000</v>
      </c>
      <c r="C354" s="1" t="n">
        <v>125.4468</v>
      </c>
      <c r="D354" s="1" t="n">
        <v>140.8205</v>
      </c>
      <c r="E354" s="1" t="n">
        <v>47</v>
      </c>
    </row>
    <row r="355" customFormat="false" ht="14.65" hidden="false" customHeight="false" outlineLevel="0" collapsed="false">
      <c r="A355" s="1" t="s">
        <v>111</v>
      </c>
      <c r="B355" s="1" t="n">
        <v>5015</v>
      </c>
      <c r="C355" s="1" t="n">
        <v>106.1935</v>
      </c>
      <c r="D355" s="1" t="n">
        <v>209.7393</v>
      </c>
      <c r="E355" s="1" t="n">
        <v>31</v>
      </c>
    </row>
    <row r="356" customFormat="false" ht="14.65" hidden="false" customHeight="false" outlineLevel="0" collapsed="false">
      <c r="A356" s="1" t="s">
        <v>111</v>
      </c>
      <c r="B356" s="1" t="n">
        <v>5020</v>
      </c>
      <c r="C356" s="1" t="n">
        <v>86.3333</v>
      </c>
      <c r="D356" s="1" t="n">
        <v>98.169</v>
      </c>
      <c r="E356" s="1" t="n">
        <v>12</v>
      </c>
    </row>
    <row r="357" customFormat="false" ht="14.65" hidden="false" customHeight="false" outlineLevel="0" collapsed="false">
      <c r="A357" s="1" t="s">
        <v>111</v>
      </c>
      <c r="B357" s="1" t="n">
        <v>5080</v>
      </c>
      <c r="C357" s="1" t="n">
        <v>57.4524</v>
      </c>
      <c r="D357" s="1" t="n">
        <v>108.2975</v>
      </c>
      <c r="E357" s="1" t="n">
        <v>42</v>
      </c>
    </row>
    <row r="358" customFormat="false" ht="14.65" hidden="false" customHeight="false" outlineLevel="0" collapsed="false">
      <c r="A358" s="1" t="s">
        <v>111</v>
      </c>
      <c r="B358" s="1" t="n">
        <v>5120</v>
      </c>
      <c r="C358" s="1" t="n">
        <v>110.6154</v>
      </c>
      <c r="D358" s="1" t="n">
        <v>156.9152</v>
      </c>
      <c r="E358" s="1" t="n">
        <v>91</v>
      </c>
    </row>
    <row r="359" customFormat="false" ht="14.65" hidden="false" customHeight="false" outlineLevel="0" collapsed="false">
      <c r="A359" s="1" t="s">
        <v>111</v>
      </c>
      <c r="B359" s="1" t="n">
        <v>5190</v>
      </c>
      <c r="C359" s="1" t="n">
        <v>76.9608</v>
      </c>
      <c r="D359" s="1" t="n">
        <v>137.5216</v>
      </c>
      <c r="E359" s="1" t="n">
        <v>51</v>
      </c>
    </row>
    <row r="360" customFormat="false" ht="14.65" hidden="false" customHeight="false" outlineLevel="0" collapsed="false">
      <c r="A360" s="1" t="s">
        <v>111</v>
      </c>
      <c r="B360" s="1" t="n">
        <v>5350</v>
      </c>
      <c r="C360" s="1" t="n">
        <v>0</v>
      </c>
      <c r="D360" s="1" t="n">
        <v>0</v>
      </c>
      <c r="E360" s="1" t="n">
        <v>2</v>
      </c>
    </row>
    <row r="361" customFormat="false" ht="14.65" hidden="false" customHeight="false" outlineLevel="0" collapsed="false">
      <c r="A361" s="1" t="s">
        <v>111</v>
      </c>
      <c r="B361" s="1" t="n">
        <v>5380</v>
      </c>
      <c r="C361" s="1" t="n">
        <v>90.3831</v>
      </c>
      <c r="D361" s="1" t="n">
        <v>142.9086</v>
      </c>
      <c r="E361" s="1" t="n">
        <v>295</v>
      </c>
    </row>
    <row r="362" customFormat="false" ht="14.65" hidden="false" customHeight="false" outlineLevel="0" collapsed="false">
      <c r="A362" s="1" t="s">
        <v>111</v>
      </c>
      <c r="B362" s="1" t="n">
        <v>5440</v>
      </c>
      <c r="C362" s="1" t="n">
        <v>100.7091</v>
      </c>
      <c r="D362" s="1" t="n">
        <v>162.3369</v>
      </c>
      <c r="E362" s="1" t="n">
        <v>55</v>
      </c>
    </row>
    <row r="363" customFormat="false" ht="14.65" hidden="false" customHeight="false" outlineLevel="0" collapsed="false">
      <c r="A363" s="1" t="s">
        <v>111</v>
      </c>
      <c r="B363" s="1" t="n">
        <v>5560</v>
      </c>
      <c r="C363" s="1" t="n">
        <v>132.3514</v>
      </c>
      <c r="D363" s="1" t="n">
        <v>201.8406</v>
      </c>
      <c r="E363" s="1" t="n">
        <v>37</v>
      </c>
    </row>
    <row r="364" customFormat="false" ht="14.65" hidden="false" customHeight="false" outlineLevel="0" collapsed="false">
      <c r="A364" s="1" t="s">
        <v>111</v>
      </c>
      <c r="B364" s="1" t="n">
        <v>5600</v>
      </c>
      <c r="C364" s="1" t="n">
        <v>97.3485</v>
      </c>
      <c r="D364" s="1" t="n">
        <v>163.6739</v>
      </c>
      <c r="E364" s="1" t="n">
        <v>396</v>
      </c>
    </row>
    <row r="365" customFormat="false" ht="14.65" hidden="false" customHeight="false" outlineLevel="0" collapsed="false">
      <c r="A365" s="1" t="s">
        <v>111</v>
      </c>
      <c r="B365" s="1" t="n">
        <v>5640</v>
      </c>
      <c r="C365" s="1" t="n">
        <v>108.5972</v>
      </c>
      <c r="D365" s="1" t="n">
        <v>176.2899</v>
      </c>
      <c r="E365" s="1" t="n">
        <v>72</v>
      </c>
    </row>
    <row r="366" customFormat="false" ht="14.65" hidden="false" customHeight="false" outlineLevel="0" collapsed="false">
      <c r="A366" s="1" t="s">
        <v>111</v>
      </c>
      <c r="B366" s="1" t="n">
        <v>5700</v>
      </c>
      <c r="C366" s="1" t="n">
        <v>77.8571</v>
      </c>
      <c r="D366" s="1" t="n">
        <v>154.2146</v>
      </c>
      <c r="E366" s="1" t="n">
        <v>7</v>
      </c>
    </row>
    <row r="367" customFormat="false" ht="14.65" hidden="false" customHeight="false" outlineLevel="0" collapsed="false">
      <c r="A367" s="1" t="s">
        <v>111</v>
      </c>
      <c r="B367" s="1" t="n">
        <v>5720</v>
      </c>
      <c r="C367" s="1" t="n">
        <v>75.4737</v>
      </c>
      <c r="D367" s="1" t="n">
        <v>138.0272</v>
      </c>
      <c r="E367" s="1" t="n">
        <v>57</v>
      </c>
    </row>
    <row r="368" customFormat="false" ht="14.65" hidden="false" customHeight="false" outlineLevel="0" collapsed="false">
      <c r="A368" s="1" t="s">
        <v>111</v>
      </c>
      <c r="B368" s="1" t="n">
        <v>5760</v>
      </c>
      <c r="C368" s="1" t="n">
        <v>128.7561</v>
      </c>
      <c r="D368" s="1" t="n">
        <v>169.5734</v>
      </c>
      <c r="E368" s="1" t="n">
        <v>41</v>
      </c>
    </row>
    <row r="369" customFormat="false" ht="14.65" hidden="false" customHeight="false" outlineLevel="0" collapsed="false">
      <c r="A369" s="1" t="s">
        <v>111</v>
      </c>
      <c r="B369" s="1" t="n">
        <v>5775</v>
      </c>
      <c r="C369" s="1" t="n">
        <v>117.9487</v>
      </c>
      <c r="D369" s="1" t="n">
        <v>176.2258</v>
      </c>
      <c r="E369" s="1" t="n">
        <v>78</v>
      </c>
    </row>
    <row r="370" customFormat="false" ht="14.65" hidden="false" customHeight="false" outlineLevel="0" collapsed="false">
      <c r="A370" s="1" t="s">
        <v>111</v>
      </c>
      <c r="B370" s="1" t="n">
        <v>5950</v>
      </c>
      <c r="C370" s="1" t="n">
        <v>64.0476</v>
      </c>
      <c r="D370" s="1" t="n">
        <v>107.5112</v>
      </c>
      <c r="E370" s="1" t="n">
        <v>21</v>
      </c>
    </row>
    <row r="371" customFormat="false" ht="14.65" hidden="false" customHeight="false" outlineLevel="0" collapsed="false">
      <c r="A371" s="1" t="s">
        <v>111</v>
      </c>
      <c r="B371" s="1" t="n">
        <v>5960</v>
      </c>
      <c r="C371" s="1" t="n">
        <v>73.3256</v>
      </c>
      <c r="D371" s="1" t="n">
        <v>103.8694</v>
      </c>
      <c r="E371" s="1" t="n">
        <v>43</v>
      </c>
    </row>
    <row r="372" customFormat="false" ht="14.65" hidden="false" customHeight="false" outlineLevel="0" collapsed="false">
      <c r="A372" s="1" t="s">
        <v>111</v>
      </c>
      <c r="B372" s="1" t="n">
        <v>6000</v>
      </c>
      <c r="C372" s="1" t="n">
        <v>60.5652</v>
      </c>
      <c r="D372" s="1" t="n">
        <v>131.6434</v>
      </c>
      <c r="E372" s="1" t="n">
        <v>23</v>
      </c>
    </row>
    <row r="373" customFormat="false" ht="14.65" hidden="false" customHeight="false" outlineLevel="0" collapsed="false">
      <c r="A373" s="1" t="s">
        <v>111</v>
      </c>
      <c r="B373" s="1" t="n">
        <v>6060</v>
      </c>
      <c r="C373" s="1" t="n">
        <v>110</v>
      </c>
      <c r="D373" s="1" t="n">
        <v>157.734</v>
      </c>
      <c r="E373" s="1" t="n">
        <v>6</v>
      </c>
    </row>
    <row r="374" customFormat="false" ht="14.65" hidden="false" customHeight="false" outlineLevel="0" collapsed="false">
      <c r="A374" s="1" t="s">
        <v>111</v>
      </c>
      <c r="B374" s="1" t="n">
        <v>6160</v>
      </c>
      <c r="C374" s="1" t="n">
        <v>101.9222</v>
      </c>
      <c r="D374" s="1" t="n">
        <v>144.4499</v>
      </c>
      <c r="E374" s="1" t="n">
        <v>167</v>
      </c>
    </row>
    <row r="375" customFormat="false" ht="14.65" hidden="false" customHeight="false" outlineLevel="0" collapsed="false">
      <c r="A375" s="1" t="s">
        <v>111</v>
      </c>
      <c r="B375" s="1" t="n">
        <v>6200</v>
      </c>
      <c r="C375" s="1" t="n">
        <v>100.7667</v>
      </c>
      <c r="D375" s="1" t="n">
        <v>163.7377</v>
      </c>
      <c r="E375" s="1" t="n">
        <v>90</v>
      </c>
    </row>
    <row r="376" customFormat="false" ht="14.65" hidden="false" customHeight="false" outlineLevel="0" collapsed="false">
      <c r="A376" s="1" t="s">
        <v>111</v>
      </c>
      <c r="B376" s="1" t="n">
        <v>6280</v>
      </c>
      <c r="C376" s="1" t="n">
        <v>96.7089</v>
      </c>
      <c r="D376" s="1" t="n">
        <v>131.8668</v>
      </c>
      <c r="E376" s="1" t="n">
        <v>79</v>
      </c>
    </row>
    <row r="377" customFormat="false" ht="14.65" hidden="false" customHeight="false" outlineLevel="0" collapsed="false">
      <c r="A377" s="1" t="s">
        <v>111</v>
      </c>
      <c r="B377" s="1" t="n">
        <v>6440</v>
      </c>
      <c r="C377" s="1" t="n">
        <v>110.75</v>
      </c>
      <c r="D377" s="1" t="n">
        <v>151.1003</v>
      </c>
      <c r="E377" s="1" t="n">
        <v>44</v>
      </c>
    </row>
    <row r="378" customFormat="false" ht="14.65" hidden="false" customHeight="false" outlineLevel="0" collapsed="false">
      <c r="A378" s="1" t="s">
        <v>111</v>
      </c>
      <c r="B378" s="1" t="n">
        <v>6480</v>
      </c>
      <c r="C378" s="1" t="n">
        <v>140.0833</v>
      </c>
      <c r="D378" s="1" t="n">
        <v>140.6033</v>
      </c>
      <c r="E378" s="1" t="n">
        <v>24</v>
      </c>
    </row>
    <row r="379" customFormat="false" ht="14.65" hidden="false" customHeight="false" outlineLevel="0" collapsed="false">
      <c r="A379" s="1" t="s">
        <v>111</v>
      </c>
      <c r="B379" s="1" t="n">
        <v>6600</v>
      </c>
      <c r="C379" s="1" t="n">
        <v>0</v>
      </c>
      <c r="D379" s="1" t="n">
        <v>0</v>
      </c>
      <c r="E379" s="1" t="n">
        <v>1</v>
      </c>
    </row>
    <row r="380" customFormat="false" ht="14.65" hidden="false" customHeight="false" outlineLevel="0" collapsed="false">
      <c r="A380" s="1" t="s">
        <v>111</v>
      </c>
      <c r="B380" s="1" t="n">
        <v>6780</v>
      </c>
      <c r="C380" s="1" t="n">
        <v>124.3956</v>
      </c>
      <c r="D380" s="1" t="n">
        <v>168.7961</v>
      </c>
      <c r="E380" s="1" t="n">
        <v>91</v>
      </c>
    </row>
    <row r="381" customFormat="false" ht="14.65" hidden="false" customHeight="false" outlineLevel="0" collapsed="false">
      <c r="A381" s="1" t="s">
        <v>111</v>
      </c>
      <c r="B381" s="1" t="n">
        <v>6840</v>
      </c>
      <c r="C381" s="1" t="n">
        <v>99.7917</v>
      </c>
      <c r="D381" s="1" t="n">
        <v>148.3917</v>
      </c>
      <c r="E381" s="1" t="n">
        <v>24</v>
      </c>
    </row>
    <row r="382" customFormat="false" ht="14.65" hidden="false" customHeight="false" outlineLevel="0" collapsed="false">
      <c r="A382" s="1" t="s">
        <v>111</v>
      </c>
      <c r="B382" s="1" t="n">
        <v>6920</v>
      </c>
      <c r="C382" s="1" t="n">
        <v>86.3333</v>
      </c>
      <c r="D382" s="1" t="n">
        <v>116.8249</v>
      </c>
      <c r="E382" s="1" t="n">
        <v>48</v>
      </c>
    </row>
    <row r="383" customFormat="false" ht="14.65" hidden="false" customHeight="false" outlineLevel="0" collapsed="false">
      <c r="A383" s="1" t="s">
        <v>111</v>
      </c>
      <c r="B383" s="1" t="n">
        <v>7040</v>
      </c>
      <c r="C383" s="1" t="n">
        <v>99.869</v>
      </c>
      <c r="D383" s="1" t="n">
        <v>148.2021</v>
      </c>
      <c r="E383" s="1" t="n">
        <v>84</v>
      </c>
    </row>
    <row r="384" customFormat="false" ht="14.65" hidden="false" customHeight="false" outlineLevel="0" collapsed="false">
      <c r="A384" s="1" t="s">
        <v>111</v>
      </c>
      <c r="B384" s="1" t="n">
        <v>7090</v>
      </c>
      <c r="C384" s="1" t="n">
        <v>75</v>
      </c>
      <c r="D384" s="1" t="n">
        <v>121.106</v>
      </c>
      <c r="E384" s="1" t="n">
        <v>10</v>
      </c>
    </row>
    <row r="385" customFormat="false" ht="14.65" hidden="false" customHeight="false" outlineLevel="0" collapsed="false">
      <c r="A385" s="1" t="s">
        <v>111</v>
      </c>
      <c r="B385" s="1" t="n">
        <v>7160</v>
      </c>
      <c r="C385" s="1" t="n">
        <v>105.2</v>
      </c>
      <c r="D385" s="1" t="n">
        <v>123.287</v>
      </c>
      <c r="E385" s="1" t="n">
        <v>30</v>
      </c>
    </row>
    <row r="386" customFormat="false" ht="14.65" hidden="false" customHeight="false" outlineLevel="0" collapsed="false">
      <c r="A386" s="1" t="s">
        <v>111</v>
      </c>
      <c r="B386" s="1" t="n">
        <v>7240</v>
      </c>
      <c r="C386" s="1" t="n">
        <v>65.4667</v>
      </c>
      <c r="D386" s="1" t="n">
        <v>100.0587</v>
      </c>
      <c r="E386" s="1" t="n">
        <v>60</v>
      </c>
    </row>
    <row r="387" customFormat="false" ht="14.65" hidden="false" customHeight="false" outlineLevel="0" collapsed="false">
      <c r="A387" s="1" t="s">
        <v>111</v>
      </c>
      <c r="B387" s="1" t="n">
        <v>7320</v>
      </c>
      <c r="C387" s="1" t="n">
        <v>111.5672</v>
      </c>
      <c r="D387" s="1" t="n">
        <v>166.2449</v>
      </c>
      <c r="E387" s="1" t="n">
        <v>134</v>
      </c>
    </row>
    <row r="388" customFormat="false" ht="14.65" hidden="false" customHeight="false" outlineLevel="0" collapsed="false">
      <c r="A388" s="1" t="s">
        <v>111</v>
      </c>
      <c r="B388" s="1" t="n">
        <v>7360</v>
      </c>
      <c r="C388" s="1" t="n">
        <v>64.9</v>
      </c>
      <c r="D388" s="1" t="n">
        <v>115.1308</v>
      </c>
      <c r="E388" s="1" t="n">
        <v>50</v>
      </c>
    </row>
    <row r="389" customFormat="false" ht="14.65" hidden="false" customHeight="false" outlineLevel="0" collapsed="false">
      <c r="A389" s="1" t="s">
        <v>111</v>
      </c>
      <c r="B389" s="1" t="n">
        <v>7400</v>
      </c>
      <c r="C389" s="1" t="n">
        <v>97.0222</v>
      </c>
      <c r="D389" s="1" t="n">
        <v>142.9603</v>
      </c>
      <c r="E389" s="1" t="n">
        <v>45</v>
      </c>
    </row>
    <row r="390" customFormat="false" ht="14.65" hidden="false" customHeight="false" outlineLevel="0" collapsed="false">
      <c r="A390" s="1" t="s">
        <v>111</v>
      </c>
      <c r="B390" s="1" t="n">
        <v>7485</v>
      </c>
      <c r="C390" s="1" t="n">
        <v>230.625</v>
      </c>
      <c r="D390" s="1" t="n">
        <v>246.829</v>
      </c>
      <c r="E390" s="1" t="n">
        <v>8</v>
      </c>
    </row>
    <row r="391" customFormat="false" ht="14.65" hidden="false" customHeight="false" outlineLevel="0" collapsed="false">
      <c r="A391" s="1" t="s">
        <v>111</v>
      </c>
      <c r="B391" s="1" t="n">
        <v>7500</v>
      </c>
      <c r="C391" s="1" t="n">
        <v>168.4167</v>
      </c>
      <c r="D391" s="1" t="n">
        <v>122.6439</v>
      </c>
      <c r="E391" s="1" t="n">
        <v>12</v>
      </c>
    </row>
    <row r="392" customFormat="false" ht="14.65" hidden="false" customHeight="false" outlineLevel="0" collapsed="false">
      <c r="A392" s="1" t="s">
        <v>111</v>
      </c>
      <c r="B392" s="1" t="n">
        <v>7600</v>
      </c>
      <c r="C392" s="1" t="n">
        <v>107.7273</v>
      </c>
      <c r="D392" s="1" t="n">
        <v>179.4496</v>
      </c>
      <c r="E392" s="1" t="n">
        <v>77</v>
      </c>
    </row>
    <row r="393" customFormat="false" ht="14.65" hidden="false" customHeight="false" outlineLevel="0" collapsed="false">
      <c r="A393" s="1" t="s">
        <v>111</v>
      </c>
      <c r="B393" s="1" t="n">
        <v>8040</v>
      </c>
      <c r="C393" s="1" t="n">
        <v>98.0133</v>
      </c>
      <c r="D393" s="1" t="n">
        <v>131.2561</v>
      </c>
      <c r="E393" s="1" t="n">
        <v>75</v>
      </c>
    </row>
    <row r="394" customFormat="false" ht="14.65" hidden="false" customHeight="false" outlineLevel="0" collapsed="false">
      <c r="A394" s="1" t="s">
        <v>111</v>
      </c>
      <c r="B394" s="1" t="n">
        <v>8200</v>
      </c>
      <c r="C394" s="1" t="n">
        <v>154.0476</v>
      </c>
      <c r="D394" s="1" t="n">
        <v>223.7164</v>
      </c>
      <c r="E394" s="1" t="n">
        <v>21</v>
      </c>
    </row>
    <row r="395" customFormat="false" ht="14.65" hidden="false" customHeight="false" outlineLevel="0" collapsed="false">
      <c r="A395" s="1" t="s">
        <v>111</v>
      </c>
      <c r="B395" s="1" t="n">
        <v>8280</v>
      </c>
      <c r="C395" s="1" t="n">
        <v>88.5143</v>
      </c>
      <c r="D395" s="1" t="n">
        <v>136.0391</v>
      </c>
      <c r="E395" s="1" t="n">
        <v>70</v>
      </c>
    </row>
    <row r="396" customFormat="false" ht="14.65" hidden="false" customHeight="false" outlineLevel="0" collapsed="false">
      <c r="A396" s="1" t="s">
        <v>111</v>
      </c>
      <c r="B396" s="1" t="n">
        <v>8480</v>
      </c>
      <c r="C396" s="1" t="n">
        <v>28.5714</v>
      </c>
      <c r="D396" s="1" t="n">
        <v>44.9473</v>
      </c>
      <c r="E396" s="1" t="n">
        <v>14</v>
      </c>
    </row>
    <row r="397" customFormat="false" ht="14.65" hidden="false" customHeight="false" outlineLevel="0" collapsed="false">
      <c r="A397" s="1" t="s">
        <v>111</v>
      </c>
      <c r="B397" s="1" t="n">
        <v>8720</v>
      </c>
      <c r="C397" s="1" t="n">
        <v>163.7059</v>
      </c>
      <c r="D397" s="1" t="n">
        <v>232.2382</v>
      </c>
      <c r="E397" s="1" t="n">
        <v>17</v>
      </c>
    </row>
    <row r="398" customFormat="false" ht="14.65" hidden="false" customHeight="false" outlineLevel="0" collapsed="false">
      <c r="A398" s="1" t="s">
        <v>111</v>
      </c>
      <c r="B398" s="1" t="n">
        <v>8725</v>
      </c>
      <c r="C398" s="1" t="n">
        <v>26</v>
      </c>
      <c r="D398" s="1" t="n">
        <v>28.8097</v>
      </c>
      <c r="E398" s="1" t="n">
        <v>5</v>
      </c>
    </row>
    <row r="399" customFormat="false" ht="14.65" hidden="false" customHeight="false" outlineLevel="0" collapsed="false">
      <c r="A399" s="1" t="s">
        <v>111</v>
      </c>
      <c r="B399" s="1" t="n">
        <v>8760</v>
      </c>
      <c r="C399" s="1" t="n">
        <v>115</v>
      </c>
      <c r="D399" s="1" t="n">
        <v>199.1858</v>
      </c>
      <c r="E399" s="1" t="n">
        <v>3</v>
      </c>
    </row>
    <row r="400" customFormat="false" ht="14.65" hidden="false" customHeight="false" outlineLevel="0" collapsed="false">
      <c r="A400" s="1" t="s">
        <v>111</v>
      </c>
      <c r="B400" s="1" t="n">
        <v>8840</v>
      </c>
      <c r="C400" s="1" t="n">
        <v>125.3098</v>
      </c>
      <c r="D400" s="1" t="n">
        <v>160.9269</v>
      </c>
      <c r="E400" s="1" t="n">
        <v>184</v>
      </c>
    </row>
    <row r="401" customFormat="false" ht="14.65" hidden="false" customHeight="false" outlineLevel="0" collapsed="false">
      <c r="A401" s="1" t="s">
        <v>111</v>
      </c>
      <c r="B401" s="1" t="n">
        <v>9160</v>
      </c>
      <c r="C401" s="1" t="n">
        <v>110.1429</v>
      </c>
      <c r="D401" s="1" t="n">
        <v>162.952</v>
      </c>
      <c r="E401" s="1" t="n">
        <v>14</v>
      </c>
    </row>
    <row r="403" customFormat="false" ht="14.65" hidden="false" customHeight="false" outlineLevel="0" collapsed="false">
      <c r="B403" s="1" t="s">
        <v>14</v>
      </c>
      <c r="C403" s="1" t="s">
        <v>15</v>
      </c>
      <c r="D403" s="1" t="s">
        <v>16</v>
      </c>
      <c r="E403" s="1" t="n">
        <v>8159</v>
      </c>
    </row>
    <row r="404" customFormat="false" ht="14.65" hidden="false" customHeight="false" outlineLevel="0" collapsed="false">
      <c r="A404" s="1" t="s">
        <v>112</v>
      </c>
      <c r="B404" s="1" t="s">
        <v>15</v>
      </c>
      <c r="C404" s="1" t="s">
        <v>16</v>
      </c>
      <c r="D404" s="1" t="n">
        <v>2339</v>
      </c>
      <c r="E404" s="1" t="s">
        <v>113</v>
      </c>
      <c r="F404" s="1" t="n">
        <v>28.7</v>
      </c>
      <c r="G404" s="1" t="s">
        <v>114</v>
      </c>
    </row>
    <row r="405" customFormat="false" ht="14.65" hidden="false" customHeight="false" outlineLevel="0" collapsed="false">
      <c r="A405" s="1" t="s">
        <v>17</v>
      </c>
    </row>
    <row r="406" customFormat="false" ht="14.65" hidden="false" customHeight="false" outlineLevel="0" collapsed="false">
      <c r="A406" s="1" t="s">
        <v>18</v>
      </c>
      <c r="B406" s="1" t="n">
        <v>56</v>
      </c>
      <c r="C406" s="1" t="s">
        <v>19</v>
      </c>
      <c r="D406" s="2" t="n">
        <v>33957</v>
      </c>
    </row>
    <row r="408" customFormat="false" ht="14.65" hidden="false" customHeight="false" outlineLevel="0" collapsed="false">
      <c r="A408" s="1" t="s">
        <v>0</v>
      </c>
      <c r="B408" s="1" t="s">
        <v>1</v>
      </c>
      <c r="C408" s="1" t="s">
        <v>23</v>
      </c>
    </row>
    <row r="409" customFormat="false" ht="14.65" hidden="false" customHeight="false" outlineLevel="0" collapsed="false">
      <c r="A409" s="1" t="s">
        <v>3</v>
      </c>
      <c r="B409" s="1" t="s">
        <v>4</v>
      </c>
      <c r="C409" s="1" t="s">
        <v>1</v>
      </c>
      <c r="D409" s="1" t="s">
        <v>111</v>
      </c>
    </row>
    <row r="411" customFormat="false" ht="14.65" hidden="false" customHeight="false" outlineLevel="0" collapsed="false">
      <c r="A411" s="1" t="s">
        <v>6</v>
      </c>
      <c r="B411" s="1" t="s">
        <v>7</v>
      </c>
      <c r="C411" s="1" t="s">
        <v>48</v>
      </c>
      <c r="D411" s="1" t="s">
        <v>8</v>
      </c>
      <c r="E411" s="1" t="s">
        <v>49</v>
      </c>
      <c r="F411" s="1" t="s">
        <v>50</v>
      </c>
      <c r="G411" s="1" t="s">
        <v>15</v>
      </c>
    </row>
    <row r="413" customFormat="false" ht="14.65" hidden="false" customHeight="false" outlineLevel="0" collapsed="false">
      <c r="A413" s="1" t="s">
        <v>12</v>
      </c>
      <c r="B413" s="1" t="s">
        <v>13</v>
      </c>
      <c r="C413" s="1" t="s">
        <v>84</v>
      </c>
      <c r="D413" s="1" t="n">
        <v>66.9849</v>
      </c>
      <c r="E413" s="1" t="n">
        <v>62.7832</v>
      </c>
      <c r="F413" s="1" t="n">
        <v>5820</v>
      </c>
    </row>
    <row r="415" customFormat="false" ht="14.65" hidden="false" customHeight="false" outlineLevel="0" collapsed="false">
      <c r="A415" s="1" t="s">
        <v>111</v>
      </c>
      <c r="B415" s="1" t="n">
        <v>80</v>
      </c>
      <c r="C415" s="1" t="n">
        <v>55.4286</v>
      </c>
      <c r="D415" s="1" t="n">
        <v>30.9719</v>
      </c>
      <c r="E415" s="1" t="n">
        <v>21</v>
      </c>
    </row>
    <row r="416" customFormat="false" ht="14.65" hidden="false" customHeight="false" outlineLevel="0" collapsed="false">
      <c r="A416" s="1" t="s">
        <v>111</v>
      </c>
      <c r="B416" s="1" t="n">
        <v>360</v>
      </c>
      <c r="C416" s="1" t="n">
        <v>64.5752</v>
      </c>
      <c r="D416" s="1" t="n">
        <v>43.5022</v>
      </c>
      <c r="E416" s="1" t="n">
        <v>113</v>
      </c>
    </row>
    <row r="417" customFormat="false" ht="14.65" hidden="false" customHeight="false" outlineLevel="0" collapsed="false">
      <c r="A417" s="1" t="s">
        <v>111</v>
      </c>
      <c r="B417" s="1" t="n">
        <v>440</v>
      </c>
      <c r="C417" s="1" t="n">
        <v>48.1111</v>
      </c>
      <c r="D417" s="1" t="n">
        <v>31.4435</v>
      </c>
      <c r="E417" s="1" t="n">
        <v>18</v>
      </c>
    </row>
    <row r="418" customFormat="false" ht="14.65" hidden="false" customHeight="false" outlineLevel="0" collapsed="false">
      <c r="A418" s="1" t="s">
        <v>111</v>
      </c>
      <c r="B418" s="1" t="n">
        <v>520</v>
      </c>
      <c r="C418" s="1" t="n">
        <v>67.7921</v>
      </c>
      <c r="D418" s="1" t="n">
        <v>53.9736</v>
      </c>
      <c r="E418" s="1" t="n">
        <v>101</v>
      </c>
    </row>
    <row r="419" customFormat="false" ht="14.65" hidden="false" customHeight="false" outlineLevel="0" collapsed="false">
      <c r="A419" s="1" t="s">
        <v>111</v>
      </c>
      <c r="B419" s="1" t="n">
        <v>620</v>
      </c>
      <c r="C419" s="1" t="n">
        <v>42.6667</v>
      </c>
      <c r="D419" s="1" t="n">
        <v>32.3014</v>
      </c>
      <c r="E419" s="1" t="n">
        <v>15</v>
      </c>
    </row>
    <row r="420" customFormat="false" ht="14.65" hidden="false" customHeight="false" outlineLevel="0" collapsed="false">
      <c r="A420" s="1" t="s">
        <v>111</v>
      </c>
      <c r="B420" s="1" t="n">
        <v>720</v>
      </c>
      <c r="C420" s="1" t="n">
        <v>70.8605</v>
      </c>
      <c r="D420" s="1" t="n">
        <v>52.3064</v>
      </c>
      <c r="E420" s="1" t="n">
        <v>86</v>
      </c>
    </row>
    <row r="421" customFormat="false" ht="14.65" hidden="false" customHeight="false" outlineLevel="0" collapsed="false">
      <c r="A421" s="1" t="s">
        <v>111</v>
      </c>
      <c r="B421" s="1" t="n">
        <v>845</v>
      </c>
      <c r="C421" s="1" t="n">
        <v>43.4286</v>
      </c>
      <c r="D421" s="1" t="n">
        <v>22.1424</v>
      </c>
      <c r="E421" s="1" t="n">
        <v>7</v>
      </c>
    </row>
    <row r="422" customFormat="false" ht="14.65" hidden="false" customHeight="false" outlineLevel="0" collapsed="false">
      <c r="A422" s="1" t="s">
        <v>111</v>
      </c>
      <c r="B422" s="1" t="n">
        <v>875</v>
      </c>
      <c r="C422" s="1" t="n">
        <v>75.2131</v>
      </c>
      <c r="D422" s="1" t="n">
        <v>86.923</v>
      </c>
      <c r="E422" s="1" t="n">
        <v>61</v>
      </c>
    </row>
    <row r="423" customFormat="false" ht="14.65" hidden="false" customHeight="false" outlineLevel="0" collapsed="false">
      <c r="A423" s="1" t="s">
        <v>111</v>
      </c>
      <c r="B423" s="1" t="n">
        <v>1120</v>
      </c>
      <c r="C423" s="1" t="n">
        <v>77.519</v>
      </c>
      <c r="D423" s="1" t="n">
        <v>68.7543</v>
      </c>
      <c r="E423" s="1" t="n">
        <v>79</v>
      </c>
    </row>
    <row r="424" customFormat="false" ht="14.65" hidden="false" customHeight="false" outlineLevel="0" collapsed="false">
      <c r="A424" s="1" t="s">
        <v>111</v>
      </c>
      <c r="B424" s="1" t="n">
        <v>1125</v>
      </c>
      <c r="C424" s="1" t="n">
        <v>56.4</v>
      </c>
      <c r="D424" s="1" t="n">
        <v>28.9361</v>
      </c>
      <c r="E424" s="1" t="n">
        <v>5</v>
      </c>
    </row>
    <row r="425" customFormat="false" ht="14.65" hidden="false" customHeight="false" outlineLevel="0" collapsed="false">
      <c r="A425" s="1" t="s">
        <v>111</v>
      </c>
      <c r="B425" s="1" t="n">
        <v>1160</v>
      </c>
      <c r="C425" s="1" t="n">
        <v>62.0682</v>
      </c>
      <c r="D425" s="1" t="n">
        <v>57.166</v>
      </c>
      <c r="E425" s="1" t="n">
        <v>132</v>
      </c>
    </row>
    <row r="426" customFormat="false" ht="14.65" hidden="false" customHeight="false" outlineLevel="0" collapsed="false">
      <c r="A426" s="1" t="s">
        <v>111</v>
      </c>
      <c r="B426" s="1" t="n">
        <v>1170</v>
      </c>
      <c r="C426" s="1" t="n">
        <v>79.3103</v>
      </c>
      <c r="D426" s="1" t="n">
        <v>70.8147</v>
      </c>
      <c r="E426" s="1" t="n">
        <v>29</v>
      </c>
    </row>
    <row r="427" customFormat="false" ht="14.65" hidden="false" customHeight="false" outlineLevel="0" collapsed="false">
      <c r="A427" s="1" t="s">
        <v>111</v>
      </c>
      <c r="B427" s="1" t="n">
        <v>1200</v>
      </c>
      <c r="C427" s="1" t="n">
        <v>38.3333</v>
      </c>
      <c r="D427" s="1" t="n">
        <v>28.724</v>
      </c>
      <c r="E427" s="1" t="n">
        <v>6</v>
      </c>
    </row>
    <row r="428" customFormat="false" ht="14.65" hidden="false" customHeight="false" outlineLevel="0" collapsed="false">
      <c r="A428" s="1" t="s">
        <v>111</v>
      </c>
      <c r="B428" s="1" t="n">
        <v>1280</v>
      </c>
      <c r="C428" s="1" t="n">
        <v>77.9412</v>
      </c>
      <c r="D428" s="1" t="n">
        <v>133.814</v>
      </c>
      <c r="E428" s="1" t="n">
        <v>17</v>
      </c>
    </row>
    <row r="429" customFormat="false" ht="14.65" hidden="false" customHeight="false" outlineLevel="0" collapsed="false">
      <c r="A429" s="1" t="s">
        <v>111</v>
      </c>
      <c r="B429" s="1" t="n">
        <v>1520</v>
      </c>
      <c r="C429" s="1" t="n">
        <v>64</v>
      </c>
      <c r="D429" s="1" t="n">
        <v>39.9721</v>
      </c>
      <c r="E429" s="1" t="n">
        <v>45</v>
      </c>
    </row>
    <row r="430" customFormat="false" ht="14.65" hidden="false" customHeight="false" outlineLevel="0" collapsed="false">
      <c r="A430" s="1" t="s">
        <v>111</v>
      </c>
      <c r="B430" s="1" t="n">
        <v>1600</v>
      </c>
      <c r="C430" s="1" t="n">
        <v>65.3581</v>
      </c>
      <c r="D430" s="1" t="n">
        <v>60.5157</v>
      </c>
      <c r="E430" s="1" t="n">
        <v>215</v>
      </c>
    </row>
    <row r="431" customFormat="false" ht="14.65" hidden="false" customHeight="false" outlineLevel="0" collapsed="false">
      <c r="A431" s="1" t="s">
        <v>111</v>
      </c>
      <c r="B431" s="1" t="n">
        <v>1640</v>
      </c>
      <c r="C431" s="1" t="n">
        <v>71.1607</v>
      </c>
      <c r="D431" s="1" t="n">
        <v>59.54</v>
      </c>
      <c r="E431" s="1" t="n">
        <v>56</v>
      </c>
    </row>
    <row r="432" customFormat="false" ht="14.65" hidden="false" customHeight="false" outlineLevel="0" collapsed="false">
      <c r="A432" s="1" t="s">
        <v>111</v>
      </c>
      <c r="B432" s="1" t="n">
        <v>1680</v>
      </c>
      <c r="C432" s="1" t="n">
        <v>109.6393</v>
      </c>
      <c r="D432" s="1" t="n">
        <v>168.6055</v>
      </c>
      <c r="E432" s="1" t="n">
        <v>61</v>
      </c>
    </row>
    <row r="433" customFormat="false" ht="14.65" hidden="false" customHeight="false" outlineLevel="0" collapsed="false">
      <c r="A433" s="1" t="s">
        <v>111</v>
      </c>
      <c r="B433" s="1" t="n">
        <v>1840</v>
      </c>
      <c r="C433" s="1" t="n">
        <v>66.9091</v>
      </c>
      <c r="D433" s="1" t="n">
        <v>47.0588</v>
      </c>
      <c r="E433" s="1" t="n">
        <v>55</v>
      </c>
    </row>
    <row r="434" customFormat="false" ht="14.65" hidden="false" customHeight="false" outlineLevel="0" collapsed="false">
      <c r="A434" s="1" t="s">
        <v>111</v>
      </c>
      <c r="B434" s="1" t="n">
        <v>1920</v>
      </c>
      <c r="C434" s="1" t="n">
        <v>61.7159</v>
      </c>
      <c r="D434" s="1" t="n">
        <v>62.1061</v>
      </c>
      <c r="E434" s="1" t="n">
        <v>88</v>
      </c>
    </row>
    <row r="435" customFormat="false" ht="14.65" hidden="false" customHeight="false" outlineLevel="0" collapsed="false">
      <c r="A435" s="1" t="s">
        <v>111</v>
      </c>
      <c r="B435" s="1" t="n">
        <v>1930</v>
      </c>
      <c r="C435" s="1" t="n">
        <v>63.3208</v>
      </c>
      <c r="D435" s="1" t="n">
        <v>62.052</v>
      </c>
      <c r="E435" s="1" t="n">
        <v>53</v>
      </c>
    </row>
    <row r="436" customFormat="false" ht="14.65" hidden="false" customHeight="false" outlineLevel="0" collapsed="false">
      <c r="A436" s="1" t="s">
        <v>111</v>
      </c>
      <c r="B436" s="1" t="n">
        <v>2080</v>
      </c>
      <c r="C436" s="1" t="n">
        <v>63.1028</v>
      </c>
      <c r="D436" s="1" t="n">
        <v>43.8542</v>
      </c>
      <c r="E436" s="1" t="n">
        <v>107</v>
      </c>
    </row>
    <row r="437" customFormat="false" ht="14.65" hidden="false" customHeight="false" outlineLevel="0" collapsed="false">
      <c r="A437" s="1" t="s">
        <v>111</v>
      </c>
      <c r="B437" s="1" t="n">
        <v>2160</v>
      </c>
      <c r="C437" s="1" t="n">
        <v>68.3623</v>
      </c>
      <c r="D437" s="1" t="n">
        <v>50.7192</v>
      </c>
      <c r="E437" s="1" t="n">
        <v>138</v>
      </c>
    </row>
    <row r="438" customFormat="false" ht="14.65" hidden="false" customHeight="false" outlineLevel="0" collapsed="false">
      <c r="A438" s="1" t="s">
        <v>111</v>
      </c>
      <c r="B438" s="1" t="n">
        <v>2680</v>
      </c>
      <c r="C438" s="1" t="n">
        <v>61.0233</v>
      </c>
      <c r="D438" s="1" t="n">
        <v>47.4078</v>
      </c>
      <c r="E438" s="1" t="n">
        <v>43</v>
      </c>
    </row>
    <row r="439" customFormat="false" ht="14.65" hidden="false" customHeight="false" outlineLevel="0" collapsed="false">
      <c r="A439" s="1" t="s">
        <v>111</v>
      </c>
      <c r="B439" s="1" t="n">
        <v>2800</v>
      </c>
      <c r="C439" s="1" t="n">
        <v>68.9048</v>
      </c>
      <c r="D439" s="1" t="n">
        <v>65.3325</v>
      </c>
      <c r="E439" s="1" t="n">
        <v>42</v>
      </c>
    </row>
    <row r="440" customFormat="false" ht="14.65" hidden="false" customHeight="false" outlineLevel="0" collapsed="false">
      <c r="A440" s="1" t="s">
        <v>111</v>
      </c>
      <c r="B440" s="1" t="n">
        <v>2920</v>
      </c>
      <c r="C440" s="1" t="n">
        <v>31</v>
      </c>
      <c r="D440" s="1" t="n">
        <v>20.4287</v>
      </c>
      <c r="E440" s="1" t="n">
        <v>4</v>
      </c>
    </row>
    <row r="441" customFormat="false" ht="14.65" hidden="false" customHeight="false" outlineLevel="0" collapsed="false">
      <c r="A441" s="1" t="s">
        <v>111</v>
      </c>
      <c r="B441" s="1" t="n">
        <v>2960</v>
      </c>
      <c r="C441" s="1" t="n">
        <v>57.4545</v>
      </c>
      <c r="D441" s="1" t="n">
        <v>28.335</v>
      </c>
      <c r="E441" s="1" t="n">
        <v>11</v>
      </c>
    </row>
    <row r="442" customFormat="false" ht="14.65" hidden="false" customHeight="false" outlineLevel="0" collapsed="false">
      <c r="A442" s="1" t="s">
        <v>111</v>
      </c>
      <c r="B442" s="1" t="n">
        <v>3200</v>
      </c>
      <c r="C442" s="1" t="n">
        <v>45.5455</v>
      </c>
      <c r="D442" s="1" t="n">
        <v>25.8664</v>
      </c>
      <c r="E442" s="1" t="n">
        <v>11</v>
      </c>
    </row>
    <row r="443" customFormat="false" ht="14.65" hidden="false" customHeight="false" outlineLevel="0" collapsed="false">
      <c r="A443" s="1" t="s">
        <v>111</v>
      </c>
      <c r="B443" s="1" t="n">
        <v>3280</v>
      </c>
      <c r="C443" s="1" t="n">
        <v>68.1122</v>
      </c>
      <c r="D443" s="1" t="n">
        <v>69.7962</v>
      </c>
      <c r="E443" s="1" t="n">
        <v>205</v>
      </c>
    </row>
    <row r="444" customFormat="false" ht="14.65" hidden="false" customHeight="false" outlineLevel="0" collapsed="false">
      <c r="A444" s="1" t="s">
        <v>111</v>
      </c>
      <c r="B444" s="1" t="n">
        <v>3360</v>
      </c>
      <c r="C444" s="1" t="n">
        <v>64.6154</v>
      </c>
      <c r="D444" s="1" t="n">
        <v>47.5682</v>
      </c>
      <c r="E444" s="1" t="n">
        <v>130</v>
      </c>
    </row>
    <row r="445" customFormat="false" ht="14.65" hidden="false" customHeight="false" outlineLevel="0" collapsed="false">
      <c r="A445" s="1" t="s">
        <v>111</v>
      </c>
      <c r="B445" s="1" t="n">
        <v>3480</v>
      </c>
      <c r="C445" s="1" t="n">
        <v>59.3448</v>
      </c>
      <c r="D445" s="1" t="n">
        <v>64.2432</v>
      </c>
      <c r="E445" s="1" t="n">
        <v>551</v>
      </c>
    </row>
    <row r="446" customFormat="false" ht="14.65" hidden="false" customHeight="false" outlineLevel="0" collapsed="false">
      <c r="A446" s="1" t="s">
        <v>111</v>
      </c>
      <c r="B446" s="1" t="n">
        <v>3640</v>
      </c>
      <c r="C446" s="1" t="n">
        <v>24</v>
      </c>
      <c r="D446" s="1" t="n">
        <v>13.048</v>
      </c>
      <c r="E446" s="1" t="n">
        <v>9</v>
      </c>
    </row>
    <row r="447" customFormat="false" ht="14.65" hidden="false" customHeight="false" outlineLevel="0" collapsed="false">
      <c r="A447" s="1" t="s">
        <v>111</v>
      </c>
      <c r="B447" s="1" t="n">
        <v>3690</v>
      </c>
      <c r="C447" s="1" t="n">
        <v>58.5</v>
      </c>
      <c r="D447" s="1" t="n">
        <v>44.235</v>
      </c>
      <c r="E447" s="1" t="n">
        <v>22</v>
      </c>
    </row>
    <row r="448" customFormat="false" ht="14.65" hidden="false" customHeight="false" outlineLevel="0" collapsed="false">
      <c r="A448" s="1" t="s">
        <v>111</v>
      </c>
      <c r="B448" s="1" t="n">
        <v>3760</v>
      </c>
      <c r="C448" s="1" t="n">
        <v>60.3279</v>
      </c>
      <c r="D448" s="1" t="n">
        <v>47.8991</v>
      </c>
      <c r="E448" s="1" t="n">
        <v>61</v>
      </c>
    </row>
    <row r="449" customFormat="false" ht="14.65" hidden="false" customHeight="false" outlineLevel="0" collapsed="false">
      <c r="A449" s="1" t="s">
        <v>111</v>
      </c>
      <c r="B449" s="1" t="n">
        <v>3800</v>
      </c>
      <c r="C449" s="1" t="n">
        <v>30</v>
      </c>
      <c r="D449" s="1" t="n">
        <v>42.4264</v>
      </c>
      <c r="E449" s="1" t="n">
        <v>2</v>
      </c>
    </row>
    <row r="450" customFormat="false" ht="14.65" hidden="false" customHeight="false" outlineLevel="0" collapsed="false">
      <c r="A450" s="1" t="s">
        <v>111</v>
      </c>
      <c r="B450" s="1" t="n">
        <v>3965</v>
      </c>
      <c r="C450" s="1" t="n">
        <v>70.0882</v>
      </c>
      <c r="D450" s="1" t="n">
        <v>68.694</v>
      </c>
      <c r="E450" s="1" t="n">
        <v>34</v>
      </c>
    </row>
    <row r="451" customFormat="false" ht="14.65" hidden="false" customHeight="false" outlineLevel="0" collapsed="false">
      <c r="A451" s="1" t="s">
        <v>111</v>
      </c>
      <c r="B451" s="1" t="n">
        <v>4160</v>
      </c>
      <c r="C451" s="1" t="n">
        <v>71</v>
      </c>
      <c r="D451" s="1" t="n">
        <v>71.6961</v>
      </c>
      <c r="E451" s="1" t="n">
        <v>7</v>
      </c>
    </row>
    <row r="452" customFormat="false" ht="14.65" hidden="false" customHeight="false" outlineLevel="0" collapsed="false">
      <c r="A452" s="1" t="s">
        <v>111</v>
      </c>
      <c r="B452" s="1" t="n">
        <v>4440</v>
      </c>
      <c r="C452" s="1" t="n">
        <v>71.6667</v>
      </c>
      <c r="D452" s="1" t="n">
        <v>51.7542</v>
      </c>
      <c r="E452" s="1" t="n">
        <v>9</v>
      </c>
    </row>
    <row r="453" customFormat="false" ht="14.65" hidden="false" customHeight="false" outlineLevel="0" collapsed="false">
      <c r="A453" s="1" t="s">
        <v>111</v>
      </c>
      <c r="B453" s="1" t="n">
        <v>4480</v>
      </c>
      <c r="C453" s="1" t="n">
        <v>61.7591</v>
      </c>
      <c r="D453" s="1" t="n">
        <v>42.1446</v>
      </c>
      <c r="E453" s="1" t="n">
        <v>274</v>
      </c>
    </row>
    <row r="454" customFormat="false" ht="14.65" hidden="false" customHeight="false" outlineLevel="0" collapsed="false">
      <c r="A454" s="1" t="s">
        <v>111</v>
      </c>
      <c r="B454" s="1" t="n">
        <v>4560</v>
      </c>
      <c r="C454" s="1" t="n">
        <v>93.1111</v>
      </c>
      <c r="D454" s="1" t="n">
        <v>48.4934</v>
      </c>
      <c r="E454" s="1" t="n">
        <v>9</v>
      </c>
    </row>
    <row r="455" customFormat="false" ht="14.65" hidden="false" customHeight="false" outlineLevel="0" collapsed="false">
      <c r="A455" s="1" t="s">
        <v>111</v>
      </c>
      <c r="B455" s="1" t="n">
        <v>5000</v>
      </c>
      <c r="C455" s="1" t="n">
        <v>64.4255</v>
      </c>
      <c r="D455" s="1" t="n">
        <v>50.4099</v>
      </c>
      <c r="E455" s="1" t="n">
        <v>47</v>
      </c>
    </row>
    <row r="456" customFormat="false" ht="14.65" hidden="false" customHeight="false" outlineLevel="0" collapsed="false">
      <c r="A456" s="1" t="s">
        <v>111</v>
      </c>
      <c r="B456" s="1" t="n">
        <v>5015</v>
      </c>
      <c r="C456" s="1" t="n">
        <v>55.9355</v>
      </c>
      <c r="D456" s="1" t="n">
        <v>50.8363</v>
      </c>
      <c r="E456" s="1" t="n">
        <v>31</v>
      </c>
    </row>
    <row r="457" customFormat="false" ht="14.65" hidden="false" customHeight="false" outlineLevel="0" collapsed="false">
      <c r="A457" s="1" t="s">
        <v>111</v>
      </c>
      <c r="B457" s="1" t="n">
        <v>5020</v>
      </c>
      <c r="C457" s="1" t="n">
        <v>73.1667</v>
      </c>
      <c r="D457" s="1" t="n">
        <v>85.5005</v>
      </c>
      <c r="E457" s="1" t="n">
        <v>12</v>
      </c>
    </row>
    <row r="458" customFormat="false" ht="14.65" hidden="false" customHeight="false" outlineLevel="0" collapsed="false">
      <c r="A458" s="1" t="s">
        <v>111</v>
      </c>
      <c r="B458" s="1" t="n">
        <v>5080</v>
      </c>
      <c r="C458" s="1" t="n">
        <v>53.8095</v>
      </c>
      <c r="D458" s="1" t="n">
        <v>33.9312</v>
      </c>
      <c r="E458" s="1" t="n">
        <v>42</v>
      </c>
    </row>
    <row r="459" customFormat="false" ht="14.65" hidden="false" customHeight="false" outlineLevel="0" collapsed="false">
      <c r="A459" s="1" t="s">
        <v>111</v>
      </c>
      <c r="B459" s="1" t="n">
        <v>5120</v>
      </c>
      <c r="C459" s="1" t="n">
        <v>63.5495</v>
      </c>
      <c r="D459" s="1" t="n">
        <v>52.9071</v>
      </c>
      <c r="E459" s="1" t="n">
        <v>91</v>
      </c>
    </row>
    <row r="460" customFormat="false" ht="14.65" hidden="false" customHeight="false" outlineLevel="0" collapsed="false">
      <c r="A460" s="1" t="s">
        <v>111</v>
      </c>
      <c r="B460" s="1" t="n">
        <v>5190</v>
      </c>
      <c r="C460" s="1" t="n">
        <v>80.5686</v>
      </c>
      <c r="D460" s="1" t="n">
        <v>67.6092</v>
      </c>
      <c r="E460" s="1" t="n">
        <v>51</v>
      </c>
    </row>
    <row r="461" customFormat="false" ht="14.65" hidden="false" customHeight="false" outlineLevel="0" collapsed="false">
      <c r="A461" s="1" t="s">
        <v>111</v>
      </c>
      <c r="B461" s="1" t="n">
        <v>5350</v>
      </c>
      <c r="C461" s="1" t="n">
        <v>110</v>
      </c>
      <c r="D461" s="1" t="n">
        <v>113.1371</v>
      </c>
      <c r="E461" s="1" t="n">
        <v>2</v>
      </c>
    </row>
    <row r="462" customFormat="false" ht="14.65" hidden="false" customHeight="false" outlineLevel="0" collapsed="false">
      <c r="A462" s="1" t="s">
        <v>111</v>
      </c>
      <c r="B462" s="1" t="n">
        <v>5380</v>
      </c>
      <c r="C462" s="1" t="n">
        <v>74.1593</v>
      </c>
      <c r="D462" s="1" t="n">
        <v>77.3896</v>
      </c>
      <c r="E462" s="1" t="n">
        <v>295</v>
      </c>
    </row>
    <row r="463" customFormat="false" ht="14.65" hidden="false" customHeight="false" outlineLevel="0" collapsed="false">
      <c r="A463" s="1" t="s">
        <v>111</v>
      </c>
      <c r="B463" s="1" t="n">
        <v>5440</v>
      </c>
      <c r="C463" s="1" t="n">
        <v>56.5818</v>
      </c>
      <c r="D463" s="1" t="n">
        <v>38.1453</v>
      </c>
      <c r="E463" s="1" t="n">
        <v>55</v>
      </c>
    </row>
    <row r="464" customFormat="false" ht="14.65" hidden="false" customHeight="false" outlineLevel="0" collapsed="false">
      <c r="A464" s="1" t="s">
        <v>111</v>
      </c>
      <c r="B464" s="1" t="n">
        <v>5560</v>
      </c>
      <c r="C464" s="1" t="n">
        <v>57.2703</v>
      </c>
      <c r="D464" s="1" t="n">
        <v>38.7102</v>
      </c>
      <c r="E464" s="1" t="n">
        <v>37</v>
      </c>
    </row>
    <row r="465" customFormat="false" ht="14.65" hidden="false" customHeight="false" outlineLevel="0" collapsed="false">
      <c r="A465" s="1" t="s">
        <v>111</v>
      </c>
      <c r="B465" s="1" t="n">
        <v>5600</v>
      </c>
      <c r="C465" s="1" t="n">
        <v>77.5985</v>
      </c>
      <c r="D465" s="1" t="n">
        <v>62.6455</v>
      </c>
      <c r="E465" s="1" t="n">
        <v>396</v>
      </c>
    </row>
    <row r="466" customFormat="false" ht="14.65" hidden="false" customHeight="false" outlineLevel="0" collapsed="false">
      <c r="A466" s="1" t="s">
        <v>111</v>
      </c>
      <c r="B466" s="1" t="n">
        <v>5640</v>
      </c>
      <c r="C466" s="1" t="n">
        <v>70.8611</v>
      </c>
      <c r="D466" s="1" t="n">
        <v>54.2047</v>
      </c>
      <c r="E466" s="1" t="n">
        <v>72</v>
      </c>
    </row>
    <row r="467" customFormat="false" ht="14.65" hidden="false" customHeight="false" outlineLevel="0" collapsed="false">
      <c r="A467" s="1" t="s">
        <v>111</v>
      </c>
      <c r="B467" s="1" t="n">
        <v>5700</v>
      </c>
      <c r="C467" s="1" t="n">
        <v>57.2857</v>
      </c>
      <c r="D467" s="1" t="n">
        <v>39.7061</v>
      </c>
      <c r="E467" s="1" t="n">
        <v>7</v>
      </c>
    </row>
    <row r="468" customFormat="false" ht="14.65" hidden="false" customHeight="false" outlineLevel="0" collapsed="false">
      <c r="A468" s="1" t="s">
        <v>111</v>
      </c>
      <c r="B468" s="1" t="n">
        <v>5720</v>
      </c>
      <c r="C468" s="1" t="n">
        <v>52.2105</v>
      </c>
      <c r="D468" s="1" t="n">
        <v>26.6724</v>
      </c>
      <c r="E468" s="1" t="n">
        <v>57</v>
      </c>
    </row>
    <row r="469" customFormat="false" ht="14.65" hidden="false" customHeight="false" outlineLevel="0" collapsed="false">
      <c r="A469" s="1" t="s">
        <v>111</v>
      </c>
      <c r="B469" s="1" t="n">
        <v>5760</v>
      </c>
      <c r="C469" s="1" t="n">
        <v>72.0976</v>
      </c>
      <c r="D469" s="1" t="n">
        <v>65.8471</v>
      </c>
      <c r="E469" s="1" t="n">
        <v>41</v>
      </c>
    </row>
    <row r="470" customFormat="false" ht="14.65" hidden="false" customHeight="false" outlineLevel="0" collapsed="false">
      <c r="A470" s="1" t="s">
        <v>111</v>
      </c>
      <c r="B470" s="1" t="n">
        <v>5775</v>
      </c>
      <c r="C470" s="1" t="n">
        <v>78.3205</v>
      </c>
      <c r="D470" s="1" t="n">
        <v>91.3935</v>
      </c>
      <c r="E470" s="1" t="n">
        <v>78</v>
      </c>
    </row>
    <row r="471" customFormat="false" ht="14.65" hidden="false" customHeight="false" outlineLevel="0" collapsed="false">
      <c r="A471" s="1" t="s">
        <v>111</v>
      </c>
      <c r="B471" s="1" t="n">
        <v>5950</v>
      </c>
      <c r="C471" s="1" t="n">
        <v>65.5238</v>
      </c>
      <c r="D471" s="1" t="n">
        <v>51.1504</v>
      </c>
      <c r="E471" s="1" t="n">
        <v>21</v>
      </c>
    </row>
    <row r="472" customFormat="false" ht="14.65" hidden="false" customHeight="false" outlineLevel="0" collapsed="false">
      <c r="A472" s="1" t="s">
        <v>111</v>
      </c>
      <c r="B472" s="1" t="n">
        <v>5960</v>
      </c>
      <c r="C472" s="1" t="n">
        <v>57.3953</v>
      </c>
      <c r="D472" s="1" t="n">
        <v>41.8877</v>
      </c>
      <c r="E472" s="1" t="n">
        <v>43</v>
      </c>
    </row>
    <row r="473" customFormat="false" ht="14.65" hidden="false" customHeight="false" outlineLevel="0" collapsed="false">
      <c r="A473" s="1" t="s">
        <v>111</v>
      </c>
      <c r="B473" s="1" t="n">
        <v>6000</v>
      </c>
      <c r="C473" s="1" t="n">
        <v>88.2174</v>
      </c>
      <c r="D473" s="1" t="n">
        <v>149.104</v>
      </c>
      <c r="E473" s="1" t="n">
        <v>23</v>
      </c>
    </row>
    <row r="474" customFormat="false" ht="14.65" hidden="false" customHeight="false" outlineLevel="0" collapsed="false">
      <c r="A474" s="1" t="s">
        <v>111</v>
      </c>
      <c r="B474" s="1" t="n">
        <v>6060</v>
      </c>
      <c r="C474" s="1" t="n">
        <v>50.6667</v>
      </c>
      <c r="D474" s="1" t="n">
        <v>37.3452</v>
      </c>
      <c r="E474" s="1" t="n">
        <v>6</v>
      </c>
    </row>
    <row r="475" customFormat="false" ht="14.65" hidden="false" customHeight="false" outlineLevel="0" collapsed="false">
      <c r="A475" s="1" t="s">
        <v>111</v>
      </c>
      <c r="B475" s="1" t="n">
        <v>6160</v>
      </c>
      <c r="C475" s="1" t="n">
        <v>73.4072</v>
      </c>
      <c r="D475" s="1" t="n">
        <v>66.0176</v>
      </c>
      <c r="E475" s="1" t="n">
        <v>167</v>
      </c>
    </row>
    <row r="476" customFormat="false" ht="14.65" hidden="false" customHeight="false" outlineLevel="0" collapsed="false">
      <c r="A476" s="1" t="s">
        <v>111</v>
      </c>
      <c r="B476" s="1" t="n">
        <v>6200</v>
      </c>
      <c r="C476" s="1" t="n">
        <v>64.5111</v>
      </c>
      <c r="D476" s="1" t="n">
        <v>73.9683</v>
      </c>
      <c r="E476" s="1" t="n">
        <v>90</v>
      </c>
    </row>
    <row r="477" customFormat="false" ht="14.65" hidden="false" customHeight="false" outlineLevel="0" collapsed="false">
      <c r="A477" s="1" t="s">
        <v>111</v>
      </c>
      <c r="B477" s="1" t="n">
        <v>6280</v>
      </c>
      <c r="C477" s="1" t="n">
        <v>61.5696</v>
      </c>
      <c r="D477" s="1" t="n">
        <v>45.4509</v>
      </c>
      <c r="E477" s="1" t="n">
        <v>79</v>
      </c>
    </row>
    <row r="478" customFormat="false" ht="14.65" hidden="false" customHeight="false" outlineLevel="0" collapsed="false">
      <c r="A478" s="1" t="s">
        <v>111</v>
      </c>
      <c r="B478" s="1" t="n">
        <v>6440</v>
      </c>
      <c r="C478" s="1" t="n">
        <v>69.75</v>
      </c>
      <c r="D478" s="1" t="n">
        <v>55.2681</v>
      </c>
      <c r="E478" s="1" t="n">
        <v>44</v>
      </c>
    </row>
    <row r="479" customFormat="false" ht="14.65" hidden="false" customHeight="false" outlineLevel="0" collapsed="false">
      <c r="A479" s="1" t="s">
        <v>111</v>
      </c>
      <c r="B479" s="1" t="n">
        <v>6480</v>
      </c>
      <c r="C479" s="1" t="n">
        <v>50.375</v>
      </c>
      <c r="D479" s="1" t="n">
        <v>34.7898</v>
      </c>
      <c r="E479" s="1" t="n">
        <v>24</v>
      </c>
    </row>
    <row r="480" customFormat="false" ht="14.65" hidden="false" customHeight="false" outlineLevel="0" collapsed="false">
      <c r="A480" s="1" t="s">
        <v>111</v>
      </c>
      <c r="B480" s="1" t="n">
        <v>6600</v>
      </c>
      <c r="C480" s="1" t="n">
        <v>35</v>
      </c>
      <c r="D480" s="1" t="n">
        <v>0</v>
      </c>
      <c r="E480" s="1" t="n">
        <v>1</v>
      </c>
    </row>
    <row r="481" customFormat="false" ht="14.65" hidden="false" customHeight="false" outlineLevel="0" collapsed="false">
      <c r="A481" s="1" t="s">
        <v>111</v>
      </c>
      <c r="B481" s="1" t="n">
        <v>6780</v>
      </c>
      <c r="C481" s="1" t="n">
        <v>76.0879</v>
      </c>
      <c r="D481" s="1" t="n">
        <v>69.8036</v>
      </c>
      <c r="E481" s="1" t="n">
        <v>91</v>
      </c>
    </row>
    <row r="482" customFormat="false" ht="14.65" hidden="false" customHeight="false" outlineLevel="0" collapsed="false">
      <c r="A482" s="1" t="s">
        <v>111</v>
      </c>
      <c r="B482" s="1" t="n">
        <v>6840</v>
      </c>
      <c r="C482" s="1" t="n">
        <v>60.875</v>
      </c>
      <c r="D482" s="1" t="n">
        <v>50.4608</v>
      </c>
      <c r="E482" s="1" t="n">
        <v>24</v>
      </c>
    </row>
    <row r="483" customFormat="false" ht="14.65" hidden="false" customHeight="false" outlineLevel="0" collapsed="false">
      <c r="A483" s="1" t="s">
        <v>111</v>
      </c>
      <c r="B483" s="1" t="n">
        <v>6920</v>
      </c>
      <c r="C483" s="1" t="n">
        <v>50.5417</v>
      </c>
      <c r="D483" s="1" t="n">
        <v>43.6621</v>
      </c>
      <c r="E483" s="1" t="n">
        <v>48</v>
      </c>
    </row>
    <row r="484" customFormat="false" ht="14.65" hidden="false" customHeight="false" outlineLevel="0" collapsed="false">
      <c r="A484" s="1" t="s">
        <v>111</v>
      </c>
      <c r="B484" s="1" t="n">
        <v>7040</v>
      </c>
      <c r="C484" s="1" t="n">
        <v>64.2024</v>
      </c>
      <c r="D484" s="1" t="n">
        <v>56.4433</v>
      </c>
      <c r="E484" s="1" t="n">
        <v>84</v>
      </c>
    </row>
    <row r="485" customFormat="false" ht="14.65" hidden="false" customHeight="false" outlineLevel="0" collapsed="false">
      <c r="A485" s="1" t="s">
        <v>111</v>
      </c>
      <c r="B485" s="1" t="n">
        <v>7090</v>
      </c>
      <c r="C485" s="1" t="n">
        <v>87.7</v>
      </c>
      <c r="D485" s="1" t="n">
        <v>77.1248</v>
      </c>
      <c r="E485" s="1" t="n">
        <v>10</v>
      </c>
    </row>
    <row r="486" customFormat="false" ht="14.65" hidden="false" customHeight="false" outlineLevel="0" collapsed="false">
      <c r="A486" s="1" t="s">
        <v>111</v>
      </c>
      <c r="B486" s="1" t="n">
        <v>7160</v>
      </c>
      <c r="C486" s="1" t="n">
        <v>61.2667</v>
      </c>
      <c r="D486" s="1" t="n">
        <v>40.7557</v>
      </c>
      <c r="E486" s="1" t="n">
        <v>30</v>
      </c>
    </row>
    <row r="487" customFormat="false" ht="14.65" hidden="false" customHeight="false" outlineLevel="0" collapsed="false">
      <c r="A487" s="1" t="s">
        <v>111</v>
      </c>
      <c r="B487" s="1" t="n">
        <v>7240</v>
      </c>
      <c r="C487" s="1" t="n">
        <v>50.6167</v>
      </c>
      <c r="D487" s="1" t="n">
        <v>26.7962</v>
      </c>
      <c r="E487" s="1" t="n">
        <v>60</v>
      </c>
    </row>
    <row r="488" customFormat="false" ht="14.65" hidden="false" customHeight="false" outlineLevel="0" collapsed="false">
      <c r="A488" s="1" t="s">
        <v>111</v>
      </c>
      <c r="B488" s="1" t="n">
        <v>7320</v>
      </c>
      <c r="C488" s="1" t="n">
        <v>58.8881</v>
      </c>
      <c r="D488" s="1" t="n">
        <v>45.8354</v>
      </c>
      <c r="E488" s="1" t="n">
        <v>134</v>
      </c>
    </row>
    <row r="489" customFormat="false" ht="14.65" hidden="false" customHeight="false" outlineLevel="0" collapsed="false">
      <c r="A489" s="1" t="s">
        <v>111</v>
      </c>
      <c r="B489" s="1" t="n">
        <v>7360</v>
      </c>
      <c r="C489" s="1" t="n">
        <v>57.24</v>
      </c>
      <c r="D489" s="1" t="n">
        <v>59.2265</v>
      </c>
      <c r="E489" s="1" t="n">
        <v>50</v>
      </c>
    </row>
    <row r="490" customFormat="false" ht="14.65" hidden="false" customHeight="false" outlineLevel="0" collapsed="false">
      <c r="A490" s="1" t="s">
        <v>111</v>
      </c>
      <c r="B490" s="1" t="n">
        <v>7400</v>
      </c>
      <c r="C490" s="1" t="n">
        <v>56.4</v>
      </c>
      <c r="D490" s="1" t="n">
        <v>34.697</v>
      </c>
      <c r="E490" s="1" t="n">
        <v>45</v>
      </c>
    </row>
    <row r="491" customFormat="false" ht="14.65" hidden="false" customHeight="false" outlineLevel="0" collapsed="false">
      <c r="A491" s="1" t="s">
        <v>111</v>
      </c>
      <c r="B491" s="1" t="n">
        <v>7485</v>
      </c>
      <c r="C491" s="1" t="n">
        <v>96.875</v>
      </c>
      <c r="D491" s="1" t="n">
        <v>68.1352</v>
      </c>
      <c r="E491" s="1" t="n">
        <v>8</v>
      </c>
    </row>
    <row r="492" customFormat="false" ht="14.65" hidden="false" customHeight="false" outlineLevel="0" collapsed="false">
      <c r="A492" s="1" t="s">
        <v>111</v>
      </c>
      <c r="B492" s="1" t="n">
        <v>7500</v>
      </c>
      <c r="C492" s="1" t="n">
        <v>76.1667</v>
      </c>
      <c r="D492" s="1" t="n">
        <v>67.5222</v>
      </c>
      <c r="E492" s="1" t="n">
        <v>12</v>
      </c>
    </row>
    <row r="493" customFormat="false" ht="14.65" hidden="false" customHeight="false" outlineLevel="0" collapsed="false">
      <c r="A493" s="1" t="s">
        <v>111</v>
      </c>
      <c r="B493" s="1" t="n">
        <v>7600</v>
      </c>
      <c r="C493" s="1" t="n">
        <v>80.5065</v>
      </c>
      <c r="D493" s="1" t="n">
        <v>91.1779</v>
      </c>
      <c r="E493" s="1" t="n">
        <v>77</v>
      </c>
    </row>
    <row r="494" customFormat="false" ht="14.65" hidden="false" customHeight="false" outlineLevel="0" collapsed="false">
      <c r="A494" s="1" t="s">
        <v>111</v>
      </c>
      <c r="B494" s="1" t="n">
        <v>8040</v>
      </c>
      <c r="C494" s="1" t="n">
        <v>70.7733</v>
      </c>
      <c r="D494" s="1" t="n">
        <v>74.0813</v>
      </c>
      <c r="E494" s="1" t="n">
        <v>75</v>
      </c>
    </row>
    <row r="495" customFormat="false" ht="14.65" hidden="false" customHeight="false" outlineLevel="0" collapsed="false">
      <c r="A495" s="1" t="s">
        <v>111</v>
      </c>
      <c r="B495" s="1" t="n">
        <v>8200</v>
      </c>
      <c r="C495" s="1" t="n">
        <v>85.1429</v>
      </c>
      <c r="D495" s="1" t="n">
        <v>74.5294</v>
      </c>
      <c r="E495" s="1" t="n">
        <v>21</v>
      </c>
    </row>
    <row r="496" customFormat="false" ht="14.65" hidden="false" customHeight="false" outlineLevel="0" collapsed="false">
      <c r="A496" s="1" t="s">
        <v>111</v>
      </c>
      <c r="B496" s="1" t="n">
        <v>8280</v>
      </c>
      <c r="C496" s="1" t="n">
        <v>65.5571</v>
      </c>
      <c r="D496" s="1" t="n">
        <v>58.1903</v>
      </c>
      <c r="E496" s="1" t="n">
        <v>70</v>
      </c>
    </row>
    <row r="497" customFormat="false" ht="14.65" hidden="false" customHeight="false" outlineLevel="0" collapsed="false">
      <c r="A497" s="1" t="s">
        <v>111</v>
      </c>
      <c r="B497" s="1" t="n">
        <v>8480</v>
      </c>
      <c r="C497" s="1" t="n">
        <v>51.3571</v>
      </c>
      <c r="D497" s="1" t="n">
        <v>37.2447</v>
      </c>
      <c r="E497" s="1" t="n">
        <v>14</v>
      </c>
    </row>
    <row r="498" customFormat="false" ht="14.65" hidden="false" customHeight="false" outlineLevel="0" collapsed="false">
      <c r="A498" s="1" t="s">
        <v>111</v>
      </c>
      <c r="B498" s="1" t="n">
        <v>8720</v>
      </c>
      <c r="C498" s="1" t="n">
        <v>69.2353</v>
      </c>
      <c r="D498" s="1" t="n">
        <v>43.6155</v>
      </c>
      <c r="E498" s="1" t="n">
        <v>17</v>
      </c>
    </row>
    <row r="499" customFormat="false" ht="14.65" hidden="false" customHeight="false" outlineLevel="0" collapsed="false">
      <c r="A499" s="1" t="s">
        <v>111</v>
      </c>
      <c r="B499" s="1" t="n">
        <v>8725</v>
      </c>
      <c r="C499" s="1" t="n">
        <v>47</v>
      </c>
      <c r="D499" s="1" t="n">
        <v>35.2846</v>
      </c>
      <c r="E499" s="1" t="n">
        <v>5</v>
      </c>
    </row>
    <row r="500" customFormat="false" ht="14.65" hidden="false" customHeight="false" outlineLevel="0" collapsed="false">
      <c r="A500" s="1" t="s">
        <v>111</v>
      </c>
      <c r="B500" s="1" t="n">
        <v>8760</v>
      </c>
      <c r="C500" s="1" t="n">
        <v>80</v>
      </c>
      <c r="D500" s="1" t="n">
        <v>65</v>
      </c>
      <c r="E500" s="1" t="n">
        <v>3</v>
      </c>
    </row>
    <row r="501" customFormat="false" ht="14.65" hidden="false" customHeight="false" outlineLevel="0" collapsed="false">
      <c r="A501" s="1" t="s">
        <v>111</v>
      </c>
      <c r="B501" s="1" t="n">
        <v>8840</v>
      </c>
      <c r="C501" s="1" t="n">
        <v>77.7554</v>
      </c>
      <c r="D501" s="1" t="n">
        <v>62.1565</v>
      </c>
      <c r="E501" s="1" t="n">
        <v>184</v>
      </c>
    </row>
    <row r="502" customFormat="false" ht="14.65" hidden="false" customHeight="false" outlineLevel="0" collapsed="false">
      <c r="A502" s="1" t="s">
        <v>111</v>
      </c>
      <c r="B502" s="1" t="n">
        <v>9160</v>
      </c>
      <c r="C502" s="1" t="n">
        <v>47.5</v>
      </c>
      <c r="D502" s="1" t="n">
        <v>26.3169</v>
      </c>
      <c r="E502" s="1" t="n">
        <v>14</v>
      </c>
    </row>
    <row r="504" customFormat="false" ht="14.65" hidden="false" customHeight="false" outlineLevel="0" collapsed="false">
      <c r="B504" s="1" t="s">
        <v>14</v>
      </c>
      <c r="C504" s="1" t="s">
        <v>15</v>
      </c>
      <c r="D504" s="1" t="s">
        <v>16</v>
      </c>
      <c r="E504" s="1" t="n">
        <v>8159</v>
      </c>
    </row>
    <row r="505" customFormat="false" ht="14.65" hidden="false" customHeight="false" outlineLevel="0" collapsed="false">
      <c r="A505" s="1" t="s">
        <v>112</v>
      </c>
      <c r="B505" s="1" t="s">
        <v>15</v>
      </c>
      <c r="C505" s="1" t="s">
        <v>16</v>
      </c>
      <c r="D505" s="1" t="n">
        <v>2339</v>
      </c>
      <c r="E505" s="1" t="s">
        <v>113</v>
      </c>
      <c r="F505" s="1" t="n">
        <v>28.7</v>
      </c>
      <c r="G505" s="1" t="s">
        <v>114</v>
      </c>
    </row>
    <row r="506" customFormat="false" ht="14.65" hidden="false" customHeight="false" outlineLevel="0" collapsed="false">
      <c r="A506" s="1" t="s">
        <v>17</v>
      </c>
    </row>
    <row r="507" customFormat="false" ht="14.65" hidden="false" customHeight="false" outlineLevel="0" collapsed="false">
      <c r="A507" s="1" t="s">
        <v>18</v>
      </c>
      <c r="B507" s="1" t="n">
        <v>62</v>
      </c>
      <c r="C507" s="1" t="s">
        <v>19</v>
      </c>
      <c r="D507" s="2" t="n">
        <v>33957</v>
      </c>
    </row>
    <row r="509" customFormat="false" ht="14.65" hidden="false" customHeight="false" outlineLevel="0" collapsed="false">
      <c r="A509" s="1" t="s">
        <v>51</v>
      </c>
      <c r="B509" s="1" t="s">
        <v>52</v>
      </c>
      <c r="C509" s="1" t="s">
        <v>53</v>
      </c>
      <c r="D509" s="1" t="s">
        <v>54</v>
      </c>
      <c r="E509" s="1" t="s">
        <v>55</v>
      </c>
      <c r="F509" s="3" t="n">
        <v>0.458032407407407</v>
      </c>
    </row>
    <row r="510" customFormat="false" ht="14.65" hidden="false" customHeight="false" outlineLevel="0" collapsed="false">
      <c r="A510" s="1" t="s">
        <v>56</v>
      </c>
      <c r="B510" s="1" t="s">
        <v>57</v>
      </c>
      <c r="C510" s="1" t="s">
        <v>58</v>
      </c>
      <c r="D510" s="1" t="s">
        <v>59</v>
      </c>
      <c r="E510" s="1" t="s">
        <v>60</v>
      </c>
      <c r="F510" s="1" t="s">
        <v>61</v>
      </c>
      <c r="G510" s="1" t="s">
        <v>62</v>
      </c>
      <c r="H510" s="1" t="s">
        <v>63</v>
      </c>
      <c r="I510" s="1" t="s">
        <v>115</v>
      </c>
    </row>
    <row r="512" customFormat="false" ht="14.65" hidden="false" customHeight="false" outlineLevel="0" collapsed="false">
      <c r="A512" s="1" t="s">
        <v>65</v>
      </c>
      <c r="B512" s="1" t="s">
        <v>66</v>
      </c>
      <c r="C512" s="1" t="s">
        <v>67</v>
      </c>
      <c r="D512" s="1" t="s">
        <v>68</v>
      </c>
      <c r="E512" s="1" t="s">
        <v>69</v>
      </c>
      <c r="F512" s="1" t="n">
        <v>6858</v>
      </c>
      <c r="G512" s="1" t="s">
        <v>70</v>
      </c>
      <c r="H512" s="1" t="s">
        <v>71</v>
      </c>
      <c r="I512" s="1" t="n">
        <v>1</v>
      </c>
      <c r="J512" s="1" t="s">
        <v>72</v>
      </c>
      <c r="K512" s="1" t="s">
        <v>69</v>
      </c>
      <c r="L512" s="1" t="s">
        <v>73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false" showOutlineSymbols="true" defaultGridColor="true" view="normal" topLeftCell="A117" colorId="64" zoomScale="100" zoomScaleNormal="100" zoomScalePageLayoutView="100" workbookViewId="0">
      <selection pane="topLeft" activeCell="A117" activeCellId="0" sqref="A117 A117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6" min="6" style="10" width="10.71"/>
  </cols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65" hidden="false" customHeight="false" outlineLevel="0" collapsed="false">
      <c r="A2" s="1" t="s">
        <v>3</v>
      </c>
      <c r="B2" s="1" t="s">
        <v>4</v>
      </c>
      <c r="C2" s="1" t="s">
        <v>1</v>
      </c>
      <c r="D2" s="1" t="s">
        <v>116</v>
      </c>
    </row>
    <row r="4" customFormat="false" ht="14.65" hidden="false" customHeight="false" outlineLevel="0" collapsed="false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G4" s="1" t="s">
        <v>15</v>
      </c>
    </row>
    <row r="6" customFormat="false" ht="14.65" hidden="false" customHeight="false" outlineLevel="0" collapsed="false">
      <c r="C6" s="1" t="n">
        <v>984.1785</v>
      </c>
      <c r="D6" s="1" t="n">
        <v>257.4312</v>
      </c>
      <c r="E6" s="1" t="n">
        <v>8159</v>
      </c>
    </row>
    <row r="7" customFormat="false" ht="14.65" hidden="false" customHeight="false" outlineLevel="0" collapsed="false">
      <c r="A7" s="1" t="s">
        <v>117</v>
      </c>
    </row>
    <row r="8" customFormat="false" ht="14.65" hidden="false" customHeight="false" outlineLevel="0" collapsed="false">
      <c r="A8" s="1" t="s">
        <v>118</v>
      </c>
      <c r="B8" s="1" t="n">
        <v>1</v>
      </c>
      <c r="C8" s="1" t="n">
        <v>992.6132</v>
      </c>
      <c r="D8" s="1" t="n">
        <v>252.0332</v>
      </c>
      <c r="E8" s="1" t="n">
        <v>1091</v>
      </c>
      <c r="F8" s="10" t="n">
        <f aca="false">(C8-$C$6)/(SQRT((D8^2/E8)+($D$6^2/$E$6)))</f>
        <v>1.0355375335727</v>
      </c>
    </row>
    <row r="9" customFormat="false" ht="14.65" hidden="false" customHeight="false" outlineLevel="0" collapsed="false">
      <c r="A9" s="1" t="s">
        <v>119</v>
      </c>
      <c r="B9" s="1" t="n">
        <v>2</v>
      </c>
      <c r="C9" s="1" t="n">
        <v>990.7064</v>
      </c>
      <c r="D9" s="1" t="n">
        <v>258.3235</v>
      </c>
      <c r="E9" s="1" t="n">
        <v>1478</v>
      </c>
      <c r="F9" s="10" t="n">
        <f aca="false">(C9-$C$6)/(SQRT((D9^2/E9)+($D$6^2/$E$6)))</f>
        <v>0.894384217554159</v>
      </c>
    </row>
    <row r="10" customFormat="false" ht="14.65" hidden="false" customHeight="false" outlineLevel="0" collapsed="false">
      <c r="A10" s="1" t="s">
        <v>120</v>
      </c>
      <c r="B10" s="1" t="n">
        <v>3</v>
      </c>
      <c r="C10" s="1" t="n">
        <v>977.1837</v>
      </c>
      <c r="D10" s="1" t="n">
        <v>262.2244</v>
      </c>
      <c r="E10" s="1" t="n">
        <v>1579</v>
      </c>
      <c r="F10" s="10" t="n">
        <f aca="false">(C10-$C$6)/(SQRT((D10^2/E10)+($D$6^2/$E$6)))</f>
        <v>-0.973096818513828</v>
      </c>
    </row>
    <row r="11" customFormat="false" ht="14.65" hidden="false" customHeight="false" outlineLevel="0" collapsed="false">
      <c r="A11" s="1" t="s">
        <v>121</v>
      </c>
      <c r="B11" s="1" t="n">
        <v>4</v>
      </c>
      <c r="C11" s="1" t="n">
        <v>963.2788</v>
      </c>
      <c r="D11" s="1" t="n">
        <v>256.7626</v>
      </c>
      <c r="E11" s="1" t="n">
        <v>391</v>
      </c>
      <c r="F11" s="10" t="n">
        <f aca="false">(C11-$C$6)/(SQRT((D11^2/E11)+($D$6^2/$E$6)))</f>
        <v>-1.57210047030701</v>
      </c>
    </row>
    <row r="12" customFormat="false" ht="14.65" hidden="false" customHeight="false" outlineLevel="0" collapsed="false">
      <c r="A12" s="1" t="s">
        <v>122</v>
      </c>
      <c r="B12" s="1" t="n">
        <v>5</v>
      </c>
      <c r="C12" s="1" t="n">
        <v>965.4111</v>
      </c>
      <c r="D12" s="1" t="n">
        <v>248.8555</v>
      </c>
      <c r="E12" s="1" t="n">
        <v>1080</v>
      </c>
      <c r="F12" s="10" t="n">
        <f aca="false">(C12-$C$6)/(SQRT((D12^2/E12)+($D$6^2/$E$6)))</f>
        <v>-2.31954269489466</v>
      </c>
    </row>
    <row r="13" customFormat="false" ht="14.65" hidden="false" customHeight="false" outlineLevel="0" collapsed="false">
      <c r="A13" s="1" t="s">
        <v>123</v>
      </c>
      <c r="B13" s="1" t="n">
        <v>6</v>
      </c>
      <c r="C13" s="1" t="n">
        <v>994.9474</v>
      </c>
      <c r="D13" s="1" t="n">
        <v>249.5062</v>
      </c>
      <c r="E13" s="1" t="n">
        <v>247</v>
      </c>
      <c r="F13" s="10" t="n">
        <f aca="false">(C13-$C$6)/(SQRT((D13^2/E13)+($D$6^2/$E$6)))</f>
        <v>0.667653106854049</v>
      </c>
    </row>
    <row r="14" customFormat="false" ht="14.65" hidden="false" customHeight="false" outlineLevel="0" collapsed="false">
      <c r="A14" s="1" t="s">
        <v>124</v>
      </c>
      <c r="B14" s="1" t="n">
        <v>7</v>
      </c>
      <c r="C14" s="1" t="n">
        <v>1003.08</v>
      </c>
      <c r="D14" s="1" t="n">
        <v>264.243</v>
      </c>
      <c r="E14" s="1" t="n">
        <v>675</v>
      </c>
      <c r="F14" s="10" t="n">
        <f aca="false">(C14-$C$6)/(SQRT((D14^2/E14)+($D$6^2/$E$6)))</f>
        <v>1.78949501941276</v>
      </c>
    </row>
    <row r="15" customFormat="false" ht="14.65" hidden="false" customHeight="false" outlineLevel="0" collapsed="false">
      <c r="A15" s="1" t="s">
        <v>125</v>
      </c>
      <c r="B15" s="1" t="n">
        <v>8</v>
      </c>
      <c r="C15" s="1" t="n">
        <v>986.7755</v>
      </c>
      <c r="D15" s="1" t="n">
        <v>252.9487</v>
      </c>
      <c r="E15" s="1" t="n">
        <v>392</v>
      </c>
      <c r="F15" s="10" t="n">
        <f aca="false">(C15-$C$6)/(SQRT((D15^2/E15)+($D$6^2/$E$6)))</f>
        <v>0.198397821785846</v>
      </c>
    </row>
    <row r="16" customFormat="false" ht="14.65" hidden="false" customHeight="false" outlineLevel="0" collapsed="false">
      <c r="A16" s="1" t="s">
        <v>126</v>
      </c>
      <c r="B16" s="1" t="n">
        <v>9</v>
      </c>
      <c r="C16" s="1" t="n">
        <v>987.6028</v>
      </c>
      <c r="D16" s="1" t="n">
        <v>260.8465</v>
      </c>
      <c r="E16" s="1" t="n">
        <v>1226</v>
      </c>
      <c r="F16" s="10" t="n">
        <f aca="false">(C16-$C$6)/(SQRT((D16^2/E16)+($D$6^2/$E$6)))</f>
        <v>0.429311547716067</v>
      </c>
    </row>
    <row r="18" customFormat="false" ht="14.65" hidden="false" customHeight="false" outlineLevel="0" collapsed="false">
      <c r="B18" s="1" t="s">
        <v>14</v>
      </c>
      <c r="C18" s="1" t="s">
        <v>15</v>
      </c>
      <c r="D18" s="1" t="s">
        <v>16</v>
      </c>
      <c r="E18" s="1" t="n">
        <v>8159</v>
      </c>
    </row>
    <row r="19" customFormat="false" ht="14.65" hidden="false" customHeight="false" outlineLevel="0" collapsed="false">
      <c r="A19" s="1" t="s">
        <v>17</v>
      </c>
    </row>
    <row r="20" customFormat="false" ht="14.65" hidden="false" customHeight="false" outlineLevel="0" collapsed="false">
      <c r="A20" s="1" t="s">
        <v>18</v>
      </c>
      <c r="B20" s="1" t="n">
        <v>75</v>
      </c>
      <c r="C20" s="1" t="s">
        <v>19</v>
      </c>
      <c r="D20" s="2" t="n">
        <v>33957</v>
      </c>
    </row>
    <row r="22" customFormat="false" ht="14.65" hidden="false" customHeight="false" outlineLevel="0" collapsed="false">
      <c r="A22" s="1" t="s">
        <v>0</v>
      </c>
      <c r="B22" s="1" t="s">
        <v>1</v>
      </c>
      <c r="C22" s="1" t="s">
        <v>20</v>
      </c>
    </row>
    <row r="23" customFormat="false" ht="14.65" hidden="false" customHeight="false" outlineLevel="0" collapsed="false">
      <c r="A23" s="1" t="s">
        <v>3</v>
      </c>
      <c r="B23" s="1" t="s">
        <v>4</v>
      </c>
      <c r="C23" s="1" t="s">
        <v>1</v>
      </c>
      <c r="D23" s="1" t="s">
        <v>116</v>
      </c>
    </row>
    <row r="25" customFormat="false" ht="14.65" hidden="false" customHeight="false" outlineLevel="0" collapsed="false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  <c r="F25" s="10" t="s">
        <v>50</v>
      </c>
      <c r="G25" s="1" t="s">
        <v>15</v>
      </c>
    </row>
    <row r="27" customFormat="false" ht="14.65" hidden="false" customHeight="false" outlineLevel="0" collapsed="false">
      <c r="B27" s="1" t="s">
        <v>13</v>
      </c>
      <c r="C27" s="1" t="n">
        <v>259.7991</v>
      </c>
      <c r="D27" s="1" t="n">
        <v>271.2033</v>
      </c>
      <c r="E27" s="1" t="n">
        <v>8159</v>
      </c>
    </row>
    <row r="28" customFormat="false" ht="14.65" hidden="false" customHeight="false" outlineLevel="0" collapsed="false">
      <c r="A28" s="1" t="s">
        <v>117</v>
      </c>
    </row>
    <row r="29" customFormat="false" ht="14.65" hidden="false" customHeight="false" outlineLevel="0" collapsed="false">
      <c r="A29" s="1" t="s">
        <v>118</v>
      </c>
      <c r="B29" s="1" t="n">
        <v>1</v>
      </c>
      <c r="C29" s="1" t="n">
        <v>250.5188</v>
      </c>
      <c r="D29" s="1" t="n">
        <v>270.5123</v>
      </c>
      <c r="E29" s="1" t="n">
        <v>1091</v>
      </c>
      <c r="F29" s="10" t="n">
        <f aca="false">(C29-$C$27)/(SQRT((D29^2/E29)+($D$27^2/$E$27)))</f>
        <v>-1.06390782040167</v>
      </c>
    </row>
    <row r="30" customFormat="false" ht="14.65" hidden="false" customHeight="false" outlineLevel="0" collapsed="false">
      <c r="A30" s="1" t="s">
        <v>119</v>
      </c>
      <c r="B30" s="1" t="n">
        <v>2</v>
      </c>
      <c r="C30" s="1" t="n">
        <v>258.6225</v>
      </c>
      <c r="D30" s="1" t="n">
        <v>271.4167</v>
      </c>
      <c r="E30" s="1" t="n">
        <v>1478</v>
      </c>
      <c r="F30" s="10" t="n">
        <f aca="false">(C30-$C$27)/(SQRT((D30^2/E30)+($D$27^2/$E$27)))</f>
        <v>-0.15336610465728</v>
      </c>
    </row>
    <row r="31" customFormat="false" ht="14.65" hidden="false" customHeight="false" outlineLevel="0" collapsed="false">
      <c r="A31" s="1" t="s">
        <v>120</v>
      </c>
      <c r="B31" s="1" t="n">
        <v>3</v>
      </c>
      <c r="C31" s="1" t="n">
        <v>269.9823</v>
      </c>
      <c r="D31" s="1" t="n">
        <v>270.7913</v>
      </c>
      <c r="E31" s="1" t="n">
        <v>1579</v>
      </c>
      <c r="F31" s="10" t="n">
        <f aca="false">(C31-$C$27)/(SQRT((D31^2/E31)+($D$27^2/$E$27)))</f>
        <v>1.36746750756157</v>
      </c>
    </row>
    <row r="32" customFormat="false" ht="14.65" hidden="false" customHeight="false" outlineLevel="0" collapsed="false">
      <c r="A32" s="1" t="s">
        <v>121</v>
      </c>
      <c r="B32" s="1" t="n">
        <v>4</v>
      </c>
      <c r="C32" s="1" t="n">
        <v>251.5934</v>
      </c>
      <c r="D32" s="1" t="n">
        <v>266.5235</v>
      </c>
      <c r="E32" s="1" t="n">
        <v>391</v>
      </c>
      <c r="F32" s="10" t="n">
        <f aca="false">(C32-$C$27)/(SQRT((D32^2/E32)+($D$27^2/$E$27)))</f>
        <v>-0.594227040096984</v>
      </c>
    </row>
    <row r="33" customFormat="false" ht="14.65" hidden="false" customHeight="false" outlineLevel="0" collapsed="false">
      <c r="A33" s="1" t="s">
        <v>122</v>
      </c>
      <c r="B33" s="1" t="n">
        <v>5</v>
      </c>
      <c r="C33" s="1" t="n">
        <v>282.2972</v>
      </c>
      <c r="D33" s="1" t="n">
        <v>277.4134</v>
      </c>
      <c r="E33" s="1" t="n">
        <v>1080</v>
      </c>
      <c r="F33" s="10" t="n">
        <f aca="false">(C33-$C$27)/(SQRT((D33^2/E33)+($D$27^2/$E$27)))</f>
        <v>2.51109374484028</v>
      </c>
    </row>
    <row r="34" customFormat="false" ht="14.65" hidden="false" customHeight="false" outlineLevel="0" collapsed="false">
      <c r="A34" s="1" t="s">
        <v>123</v>
      </c>
      <c r="B34" s="1" t="n">
        <v>6</v>
      </c>
      <c r="C34" s="1" t="n">
        <v>227.6761</v>
      </c>
      <c r="D34" s="1" t="n">
        <v>267.2192</v>
      </c>
      <c r="E34" s="1" t="n">
        <v>247</v>
      </c>
      <c r="F34" s="10" t="n">
        <f aca="false">(C34-$C$27)/(SQRT((D34^2/E34)+($D$27^2/$E$27)))</f>
        <v>-1.86049750408604</v>
      </c>
    </row>
    <row r="35" customFormat="false" ht="14.65" hidden="false" customHeight="false" outlineLevel="0" collapsed="false">
      <c r="A35" s="1" t="s">
        <v>124</v>
      </c>
      <c r="B35" s="1" t="n">
        <v>7</v>
      </c>
      <c r="C35" s="1" t="n">
        <v>239.7141</v>
      </c>
      <c r="D35" s="1" t="n">
        <v>266.1056</v>
      </c>
      <c r="E35" s="1" t="n">
        <v>675</v>
      </c>
      <c r="F35" s="10" t="n">
        <f aca="false">(C35-$C$27)/(SQRT((D35^2/E35)+($D$27^2/$E$27)))</f>
        <v>-1.88177908380577</v>
      </c>
    </row>
    <row r="36" customFormat="false" ht="14.65" hidden="false" customHeight="false" outlineLevel="0" collapsed="false">
      <c r="A36" s="1" t="s">
        <v>125</v>
      </c>
      <c r="B36" s="1" t="n">
        <v>8</v>
      </c>
      <c r="C36" s="1" t="n">
        <v>263.1122</v>
      </c>
      <c r="D36" s="1" t="n">
        <v>267.931</v>
      </c>
      <c r="E36" s="1" t="n">
        <v>392</v>
      </c>
      <c r="F36" s="10" t="n">
        <f aca="false">(C36-$C$27)/(SQRT((D36^2/E36)+($D$27^2/$E$27)))</f>
        <v>0.239012230026705</v>
      </c>
    </row>
    <row r="37" customFormat="false" ht="14.65" hidden="false" customHeight="false" outlineLevel="0" collapsed="false">
      <c r="A37" s="1" t="s">
        <v>126</v>
      </c>
      <c r="B37" s="1" t="n">
        <v>9</v>
      </c>
      <c r="C37" s="1" t="n">
        <v>255.6297</v>
      </c>
      <c r="D37" s="1" t="n">
        <v>271.4458</v>
      </c>
      <c r="E37" s="1" t="n">
        <v>1226</v>
      </c>
      <c r="F37" s="10" t="n">
        <f aca="false">(C37-$C$27)/(SQRT((D37^2/E37)+($D$27^2/$E$27)))</f>
        <v>-0.501519317680284</v>
      </c>
    </row>
    <row r="39" customFormat="false" ht="14.65" hidden="false" customHeight="false" outlineLevel="0" collapsed="false">
      <c r="B39" s="1" t="s">
        <v>14</v>
      </c>
      <c r="C39" s="1" t="s">
        <v>15</v>
      </c>
      <c r="D39" s="1" t="s">
        <v>16</v>
      </c>
      <c r="E39" s="1" t="n">
        <v>8159</v>
      </c>
    </row>
    <row r="40" customFormat="false" ht="14.65" hidden="false" customHeight="false" outlineLevel="0" collapsed="false">
      <c r="A40" s="1" t="s">
        <v>17</v>
      </c>
    </row>
    <row r="41" customFormat="false" ht="14.65" hidden="false" customHeight="false" outlineLevel="0" collapsed="false">
      <c r="A41" s="1" t="s">
        <v>18</v>
      </c>
      <c r="B41" s="1" t="n">
        <v>76</v>
      </c>
      <c r="C41" s="1" t="s">
        <v>19</v>
      </c>
      <c r="D41" s="2" t="n">
        <v>33957</v>
      </c>
    </row>
    <row r="43" customFormat="false" ht="14.65" hidden="false" customHeight="false" outlineLevel="0" collapsed="false">
      <c r="A43" s="1" t="s">
        <v>0</v>
      </c>
      <c r="B43" s="1" t="s">
        <v>1</v>
      </c>
      <c r="C43" s="1" t="s">
        <v>21</v>
      </c>
    </row>
    <row r="44" customFormat="false" ht="14.65" hidden="false" customHeight="false" outlineLevel="0" collapsed="false">
      <c r="A44" s="1" t="s">
        <v>3</v>
      </c>
      <c r="B44" s="1" t="s">
        <v>4</v>
      </c>
      <c r="C44" s="1" t="s">
        <v>1</v>
      </c>
      <c r="D44" s="1" t="s">
        <v>116</v>
      </c>
    </row>
    <row r="46" customFormat="false" ht="14.65" hidden="false" customHeight="false" outlineLevel="0" collapsed="false">
      <c r="A46" s="1" t="s">
        <v>6</v>
      </c>
      <c r="B46" s="1" t="s">
        <v>7</v>
      </c>
      <c r="C46" s="1" t="s">
        <v>8</v>
      </c>
      <c r="D46" s="1" t="s">
        <v>9</v>
      </c>
      <c r="E46" s="1" t="s">
        <v>10</v>
      </c>
      <c r="F46" s="10" t="s">
        <v>50</v>
      </c>
      <c r="G46" s="1" t="s">
        <v>15</v>
      </c>
    </row>
    <row r="48" customFormat="false" ht="14.65" hidden="false" customHeight="false" outlineLevel="0" collapsed="false">
      <c r="B48" s="1" t="s">
        <v>13</v>
      </c>
      <c r="C48" s="1" t="n">
        <v>21.291</v>
      </c>
      <c r="D48" s="1" t="n">
        <v>56.2797</v>
      </c>
      <c r="E48" s="1" t="n">
        <v>8159</v>
      </c>
    </row>
    <row r="49" customFormat="false" ht="14.65" hidden="false" customHeight="false" outlineLevel="0" collapsed="false">
      <c r="A49" s="1" t="s">
        <v>117</v>
      </c>
    </row>
    <row r="50" customFormat="false" ht="14.65" hidden="false" customHeight="false" outlineLevel="0" collapsed="false">
      <c r="A50" s="1" t="s">
        <v>118</v>
      </c>
      <c r="B50" s="1" t="n">
        <v>1</v>
      </c>
      <c r="C50" s="1" t="n">
        <v>19.2566</v>
      </c>
      <c r="D50" s="1" t="n">
        <v>49.3564</v>
      </c>
      <c r="E50" s="1" t="n">
        <v>1091</v>
      </c>
      <c r="F50" s="10" t="n">
        <f aca="false">(C50-$C$48)/(SQRT((D50^2/E50)+($D$48^2/$E$48)))</f>
        <v>-1.25659909978502</v>
      </c>
    </row>
    <row r="51" customFormat="false" ht="14.65" hidden="false" customHeight="false" outlineLevel="0" collapsed="false">
      <c r="A51" s="1" t="s">
        <v>119</v>
      </c>
      <c r="B51" s="1" t="n">
        <v>2</v>
      </c>
      <c r="C51" s="1" t="n">
        <v>23.4675</v>
      </c>
      <c r="D51" s="1" t="n">
        <v>57.2722</v>
      </c>
      <c r="E51" s="1" t="n">
        <v>1478</v>
      </c>
      <c r="F51" s="10" t="n">
        <f aca="false">(C51-$C$48)/(SQRT((D51^2/E51)+($D$48^2/$E$48)))</f>
        <v>1.3478663880418</v>
      </c>
    </row>
    <row r="52" customFormat="false" ht="14.65" hidden="false" customHeight="false" outlineLevel="0" collapsed="false">
      <c r="A52" s="1" t="s">
        <v>120</v>
      </c>
      <c r="B52" s="1" t="n">
        <v>3</v>
      </c>
      <c r="C52" s="1" t="n">
        <v>21.0956</v>
      </c>
      <c r="D52" s="1" t="n">
        <v>57.4774</v>
      </c>
      <c r="E52" s="1" t="n">
        <v>1579</v>
      </c>
      <c r="F52" s="10" t="n">
        <f aca="false">(C52-$C$48)/(SQRT((D52^2/E52)+($D$48^2/$E$48)))</f>
        <v>-0.124067798677899</v>
      </c>
    </row>
    <row r="53" customFormat="false" ht="14.65" hidden="false" customHeight="false" outlineLevel="0" collapsed="false">
      <c r="A53" s="1" t="s">
        <v>121</v>
      </c>
      <c r="B53" s="1" t="n">
        <v>4</v>
      </c>
      <c r="C53" s="1" t="n">
        <v>18.8261</v>
      </c>
      <c r="D53" s="1" t="n">
        <v>47.1063</v>
      </c>
      <c r="E53" s="1" t="n">
        <v>391</v>
      </c>
      <c r="F53" s="10" t="n">
        <f aca="false">(C53-$C$48)/(SQRT((D53^2/E53)+($D$48^2/$E$48)))</f>
        <v>-1.00101552442602</v>
      </c>
    </row>
    <row r="54" customFormat="false" ht="14.65" hidden="false" customHeight="false" outlineLevel="0" collapsed="false">
      <c r="A54" s="1" t="s">
        <v>122</v>
      </c>
      <c r="B54" s="1" t="n">
        <v>5</v>
      </c>
      <c r="C54" s="1" t="n">
        <v>20.1713</v>
      </c>
      <c r="D54" s="1" t="n">
        <v>51.12</v>
      </c>
      <c r="E54" s="1" t="n">
        <v>1080</v>
      </c>
      <c r="F54" s="10" t="n">
        <f aca="false">(C54-$C$48)/(SQRT((D54^2/E54)+($D$48^2/$E$48)))</f>
        <v>-0.66820795301805</v>
      </c>
    </row>
    <row r="55" customFormat="false" ht="14.65" hidden="false" customHeight="false" outlineLevel="0" collapsed="false">
      <c r="A55" s="1" t="s">
        <v>123</v>
      </c>
      <c r="B55" s="1" t="n">
        <v>6</v>
      </c>
      <c r="C55" s="1" t="n">
        <v>22.1619</v>
      </c>
      <c r="D55" s="1" t="n">
        <v>82.9396</v>
      </c>
      <c r="E55" s="1" t="n">
        <v>247</v>
      </c>
      <c r="F55" s="10" t="n">
        <f aca="false">(C55-$C$48)/(SQRT((D55^2/E55)+($D$48^2/$E$48)))</f>
        <v>0.163888643697788</v>
      </c>
    </row>
    <row r="56" customFormat="false" ht="14.65" hidden="false" customHeight="false" outlineLevel="0" collapsed="false">
      <c r="A56" s="1" t="s">
        <v>124</v>
      </c>
      <c r="B56" s="1" t="n">
        <v>7</v>
      </c>
      <c r="C56" s="1" t="n">
        <v>23.0756</v>
      </c>
      <c r="D56" s="1" t="n">
        <v>71.5642</v>
      </c>
      <c r="E56" s="1" t="n">
        <v>675</v>
      </c>
      <c r="F56" s="10" t="n">
        <f aca="false">(C56-$C$48)/(SQRT((D56^2/E56)+($D$48^2/$E$48)))</f>
        <v>0.631918933620471</v>
      </c>
    </row>
    <row r="57" customFormat="false" ht="14.65" hidden="false" customHeight="false" outlineLevel="0" collapsed="false">
      <c r="A57" s="1" t="s">
        <v>125</v>
      </c>
      <c r="B57" s="1" t="n">
        <v>8</v>
      </c>
      <c r="C57" s="1" t="n">
        <v>25.1454</v>
      </c>
      <c r="D57" s="1" t="n">
        <v>51.2751</v>
      </c>
      <c r="E57" s="1" t="n">
        <v>392</v>
      </c>
      <c r="F57" s="10" t="n">
        <f aca="false">(C57-$C$48)/(SQRT((D57^2/E57)+($D$48^2/$E$48)))</f>
        <v>1.44702086194241</v>
      </c>
    </row>
    <row r="58" customFormat="false" ht="14.65" hidden="false" customHeight="false" outlineLevel="0" collapsed="false">
      <c r="A58" s="1" t="s">
        <v>126</v>
      </c>
      <c r="B58" s="1" t="n">
        <v>9</v>
      </c>
      <c r="C58" s="1" t="n">
        <v>20.1109</v>
      </c>
      <c r="D58" s="1" t="n">
        <v>51.4617</v>
      </c>
      <c r="E58" s="1" t="n">
        <v>1226</v>
      </c>
      <c r="F58" s="10" t="n">
        <f aca="false">(C58-$C$48)/(SQRT((D58^2/E58)+($D$48^2/$E$48)))</f>
        <v>-0.739249472405048</v>
      </c>
    </row>
    <row r="60" customFormat="false" ht="14.65" hidden="false" customHeight="false" outlineLevel="0" collapsed="false">
      <c r="B60" s="1" t="s">
        <v>14</v>
      </c>
      <c r="C60" s="1" t="s">
        <v>15</v>
      </c>
      <c r="D60" s="1" t="s">
        <v>16</v>
      </c>
      <c r="E60" s="1" t="n">
        <v>8159</v>
      </c>
    </row>
    <row r="61" customFormat="false" ht="14.65" hidden="false" customHeight="false" outlineLevel="0" collapsed="false">
      <c r="A61" s="1" t="s">
        <v>17</v>
      </c>
    </row>
    <row r="62" customFormat="false" ht="14.65" hidden="false" customHeight="false" outlineLevel="0" collapsed="false">
      <c r="A62" s="1" t="s">
        <v>18</v>
      </c>
      <c r="B62" s="1" t="n">
        <v>77</v>
      </c>
      <c r="C62" s="1" t="s">
        <v>19</v>
      </c>
      <c r="D62" s="2" t="n">
        <v>33957</v>
      </c>
    </row>
    <row r="64" customFormat="false" ht="14.65" hidden="false" customHeight="false" outlineLevel="0" collapsed="false">
      <c r="A64" s="1" t="s">
        <v>0</v>
      </c>
      <c r="B64" s="1" t="s">
        <v>1</v>
      </c>
      <c r="C64" s="1" t="s">
        <v>22</v>
      </c>
    </row>
    <row r="65" customFormat="false" ht="14.65" hidden="false" customHeight="false" outlineLevel="0" collapsed="false">
      <c r="A65" s="1" t="s">
        <v>3</v>
      </c>
      <c r="B65" s="1" t="s">
        <v>4</v>
      </c>
      <c r="C65" s="1" t="s">
        <v>1</v>
      </c>
      <c r="D65" s="1" t="s">
        <v>116</v>
      </c>
    </row>
    <row r="67" customFormat="false" ht="14.65" hidden="false" customHeight="false" outlineLevel="0" collapsed="false">
      <c r="A67" s="1" t="s">
        <v>6</v>
      </c>
      <c r="B67" s="1" t="s">
        <v>7</v>
      </c>
      <c r="C67" s="1" t="s">
        <v>8</v>
      </c>
      <c r="D67" s="1" t="s">
        <v>9</v>
      </c>
      <c r="E67" s="1" t="s">
        <v>10</v>
      </c>
      <c r="F67" s="10" t="s">
        <v>50</v>
      </c>
      <c r="G67" s="1" t="s">
        <v>15</v>
      </c>
    </row>
    <row r="69" customFormat="false" ht="14.65" hidden="false" customHeight="false" outlineLevel="0" collapsed="false">
      <c r="B69" s="1" t="s">
        <v>13</v>
      </c>
      <c r="C69" s="1" t="n">
        <v>109.905</v>
      </c>
      <c r="D69" s="1" t="n">
        <v>158.4693</v>
      </c>
      <c r="E69" s="1" t="n">
        <v>8159</v>
      </c>
    </row>
    <row r="70" customFormat="false" ht="14.65" hidden="false" customHeight="false" outlineLevel="0" collapsed="false">
      <c r="A70" s="1" t="s">
        <v>117</v>
      </c>
    </row>
    <row r="71" customFormat="false" ht="14.65" hidden="false" customHeight="false" outlineLevel="0" collapsed="false">
      <c r="A71" s="1" t="s">
        <v>118</v>
      </c>
      <c r="B71" s="1" t="n">
        <v>1</v>
      </c>
      <c r="C71" s="1" t="n">
        <v>113.0357</v>
      </c>
      <c r="D71" s="1" t="n">
        <v>155.008</v>
      </c>
      <c r="E71" s="1" t="n">
        <v>1091</v>
      </c>
      <c r="F71" s="10" t="n">
        <f aca="false">(C71-$C$69)/(SQRT((D71^2/E71)+($D$69^2/$E$69)))</f>
        <v>0.62487594771039</v>
      </c>
    </row>
    <row r="72" customFormat="false" ht="14.65" hidden="false" customHeight="false" outlineLevel="0" collapsed="false">
      <c r="A72" s="1" t="s">
        <v>119</v>
      </c>
      <c r="B72" s="1" t="n">
        <v>2</v>
      </c>
      <c r="C72" s="1" t="n">
        <v>96.7476</v>
      </c>
      <c r="D72" s="1" t="n">
        <v>152.7267</v>
      </c>
      <c r="E72" s="1" t="n">
        <v>1478</v>
      </c>
      <c r="F72" s="10" t="n">
        <f aca="false">(C72-$C$69)/(SQRT((D72^2/E72)+($D$69^2/$E$69)))</f>
        <v>-3.0297250303436</v>
      </c>
    </row>
    <row r="73" customFormat="false" ht="14.65" hidden="false" customHeight="false" outlineLevel="0" collapsed="false">
      <c r="A73" s="1" t="s">
        <v>120</v>
      </c>
      <c r="B73" s="1" t="n">
        <v>3</v>
      </c>
      <c r="C73" s="1" t="n">
        <v>109.4794</v>
      </c>
      <c r="D73" s="1" t="n">
        <v>158.6308</v>
      </c>
      <c r="E73" s="1" t="n">
        <v>1579</v>
      </c>
      <c r="F73" s="10" t="n">
        <f aca="false">(C73-$C$69)/(SQRT((D73^2/E73)+($D$69^2/$E$69)))</f>
        <v>-0.0976023828152588</v>
      </c>
    </row>
    <row r="74" customFormat="false" ht="14.65" hidden="false" customHeight="false" outlineLevel="0" collapsed="false">
      <c r="A74" s="1" t="s">
        <v>121</v>
      </c>
      <c r="B74" s="1" t="n">
        <v>4</v>
      </c>
      <c r="C74" s="1" t="n">
        <v>145.0256</v>
      </c>
      <c r="D74" s="1" t="n">
        <v>173.6274</v>
      </c>
      <c r="E74" s="1" t="n">
        <v>391</v>
      </c>
      <c r="F74" s="10" t="n">
        <f aca="false">(C74-$C$69)/(SQRT((D74^2/E74)+($D$69^2/$E$69)))</f>
        <v>3.92222063059149</v>
      </c>
    </row>
    <row r="75" customFormat="false" ht="14.65" hidden="false" customHeight="false" outlineLevel="0" collapsed="false">
      <c r="A75" s="1" t="s">
        <v>122</v>
      </c>
      <c r="B75" s="1" t="n">
        <v>5</v>
      </c>
      <c r="C75" s="1" t="n">
        <v>106.638</v>
      </c>
      <c r="D75" s="1" t="n">
        <v>152.8246</v>
      </c>
      <c r="E75" s="1" t="n">
        <v>1080</v>
      </c>
      <c r="F75" s="10" t="n">
        <f aca="false">(C75-$C$69)/(SQRT((D75^2/E75)+($D$69^2/$E$69)))</f>
        <v>-0.657313148561186</v>
      </c>
    </row>
    <row r="76" customFormat="false" ht="14.65" hidden="false" customHeight="false" outlineLevel="0" collapsed="false">
      <c r="A76" s="1" t="s">
        <v>123</v>
      </c>
      <c r="B76" s="1" t="n">
        <v>6</v>
      </c>
      <c r="C76" s="1" t="n">
        <v>132.1903</v>
      </c>
      <c r="D76" s="1" t="n">
        <v>185.5379</v>
      </c>
      <c r="E76" s="1" t="n">
        <v>247</v>
      </c>
      <c r="F76" s="10" t="n">
        <f aca="false">(C76-$C$69)/(SQRT((D76^2/E76)+($D$69^2/$E$69)))</f>
        <v>1.8672004832784</v>
      </c>
    </row>
    <row r="77" customFormat="false" ht="14.65" hidden="false" customHeight="false" outlineLevel="0" collapsed="false">
      <c r="A77" s="1" t="s">
        <v>124</v>
      </c>
      <c r="B77" s="1" t="n">
        <v>7</v>
      </c>
      <c r="C77" s="1" t="n">
        <v>112.1052</v>
      </c>
      <c r="D77" s="1" t="n">
        <v>161.7403</v>
      </c>
      <c r="E77" s="1" t="n">
        <v>675</v>
      </c>
      <c r="F77" s="10" t="n">
        <f aca="false">(C77-$C$69)/(SQRT((D77^2/E77)+($D$69^2/$E$69)))</f>
        <v>0.340173840008508</v>
      </c>
    </row>
    <row r="78" customFormat="false" ht="14.65" hidden="false" customHeight="false" outlineLevel="0" collapsed="false">
      <c r="A78" s="1" t="s">
        <v>125</v>
      </c>
      <c r="B78" s="1" t="n">
        <v>8</v>
      </c>
      <c r="C78" s="1" t="n">
        <v>104.898</v>
      </c>
      <c r="D78" s="1" t="n">
        <v>155.6027</v>
      </c>
      <c r="E78" s="1" t="n">
        <v>392</v>
      </c>
      <c r="F78" s="10" t="n">
        <f aca="false">(C78-$C$69)/(SQRT((D78^2/E78)+($D$69^2/$E$69)))</f>
        <v>-0.621789906983007</v>
      </c>
    </row>
    <row r="79" customFormat="false" ht="14.65" hidden="false" customHeight="false" outlineLevel="0" collapsed="false">
      <c r="A79" s="1" t="s">
        <v>126</v>
      </c>
      <c r="B79" s="1" t="n">
        <v>9</v>
      </c>
      <c r="C79" s="1" t="n">
        <v>111.106</v>
      </c>
      <c r="D79" s="1" t="n">
        <v>159.3227</v>
      </c>
      <c r="E79" s="1" t="n">
        <v>1226</v>
      </c>
      <c r="F79" s="10" t="n">
        <f aca="false">(C79-$C$69)/(SQRT((D79^2/E79)+($D$69^2/$E$69)))</f>
        <v>0.24627209227804</v>
      </c>
    </row>
    <row r="81" customFormat="false" ht="14.65" hidden="false" customHeight="false" outlineLevel="0" collapsed="false">
      <c r="B81" s="1" t="s">
        <v>14</v>
      </c>
      <c r="C81" s="1" t="s">
        <v>15</v>
      </c>
      <c r="D81" s="1" t="s">
        <v>16</v>
      </c>
      <c r="E81" s="1" t="n">
        <v>8159</v>
      </c>
    </row>
    <row r="82" customFormat="false" ht="14.65" hidden="false" customHeight="false" outlineLevel="0" collapsed="false">
      <c r="A82" s="1" t="s">
        <v>17</v>
      </c>
    </row>
    <row r="83" customFormat="false" ht="14.65" hidden="false" customHeight="false" outlineLevel="0" collapsed="false">
      <c r="A83" s="1" t="s">
        <v>18</v>
      </c>
      <c r="B83" s="1" t="n">
        <v>78</v>
      </c>
      <c r="C83" s="1" t="s">
        <v>19</v>
      </c>
      <c r="D83" s="2" t="n">
        <v>33957</v>
      </c>
    </row>
    <row r="85" customFormat="false" ht="14.65" hidden="false" customHeight="false" outlineLevel="0" collapsed="false">
      <c r="A85" s="1" t="s">
        <v>0</v>
      </c>
      <c r="B85" s="1" t="s">
        <v>1</v>
      </c>
      <c r="C85" s="1" t="s">
        <v>23</v>
      </c>
    </row>
    <row r="86" customFormat="false" ht="14.65" hidden="false" customHeight="false" outlineLevel="0" collapsed="false">
      <c r="A86" s="1" t="s">
        <v>3</v>
      </c>
      <c r="B86" s="1" t="s">
        <v>4</v>
      </c>
      <c r="C86" s="1" t="s">
        <v>1</v>
      </c>
      <c r="D86" s="1" t="s">
        <v>116</v>
      </c>
    </row>
    <row r="88" customFormat="false" ht="14.65" hidden="false" customHeight="false" outlineLevel="0" collapsed="false">
      <c r="A88" s="1" t="s">
        <v>6</v>
      </c>
      <c r="B88" s="1" t="s">
        <v>7</v>
      </c>
      <c r="C88" s="1" t="s">
        <v>8</v>
      </c>
      <c r="D88" s="1" t="s">
        <v>9</v>
      </c>
      <c r="E88" s="1" t="s">
        <v>10</v>
      </c>
      <c r="F88" s="10" t="s">
        <v>50</v>
      </c>
      <c r="G88" s="1" t="s">
        <v>15</v>
      </c>
    </row>
    <row r="90" customFormat="false" ht="14.65" hidden="false" customHeight="false" outlineLevel="0" collapsed="false">
      <c r="B90" s="1" t="s">
        <v>13</v>
      </c>
      <c r="C90" s="1" t="n">
        <v>64.8264</v>
      </c>
      <c r="D90" s="1" t="n">
        <v>62.2463</v>
      </c>
      <c r="E90" s="1" t="n">
        <v>8159</v>
      </c>
    </row>
    <row r="91" customFormat="false" ht="14.65" hidden="false" customHeight="false" outlineLevel="0" collapsed="false">
      <c r="A91" s="1" t="s">
        <v>117</v>
      </c>
    </row>
    <row r="92" customFormat="false" ht="14.65" hidden="false" customHeight="false" outlineLevel="0" collapsed="false">
      <c r="A92" s="1" t="s">
        <v>118</v>
      </c>
      <c r="B92" s="1" t="n">
        <v>1</v>
      </c>
      <c r="C92" s="1" t="n">
        <v>64.5756</v>
      </c>
      <c r="D92" s="1" t="n">
        <v>61.9196</v>
      </c>
      <c r="E92" s="1" t="n">
        <v>1091</v>
      </c>
      <c r="F92" s="10" t="n">
        <f aca="false">(C92-$C$90)/(SQRT((D92^2/E92)+($D$90^2/$E$90)))</f>
        <v>-0.12557077000697</v>
      </c>
    </row>
    <row r="93" customFormat="false" ht="14.65" hidden="false" customHeight="false" outlineLevel="0" collapsed="false">
      <c r="A93" s="1" t="s">
        <v>119</v>
      </c>
      <c r="B93" s="1" t="n">
        <v>2</v>
      </c>
      <c r="C93" s="1" t="n">
        <v>70.456</v>
      </c>
      <c r="D93" s="1" t="n">
        <v>65.357</v>
      </c>
      <c r="E93" s="1" t="n">
        <v>1478</v>
      </c>
      <c r="F93" s="10" t="n">
        <f aca="false">(C93-$C$90)/(SQRT((D93^2/E93)+($D$90^2/$E$90)))</f>
        <v>3.06893137407194</v>
      </c>
    </row>
    <row r="94" customFormat="false" ht="14.65" hidden="false" customHeight="false" outlineLevel="0" collapsed="false">
      <c r="A94" s="1" t="s">
        <v>120</v>
      </c>
      <c r="B94" s="1" t="n">
        <v>3</v>
      </c>
      <c r="C94" s="1" t="n">
        <v>62.259</v>
      </c>
      <c r="D94" s="1" t="n">
        <v>66.3961</v>
      </c>
      <c r="E94" s="1" t="n">
        <v>1579</v>
      </c>
      <c r="F94" s="10" t="n">
        <f aca="false">(C94-$C$90)/(SQRT((D94^2/E94)+($D$90^2/$E$90)))</f>
        <v>-1.42046909794119</v>
      </c>
    </row>
    <row r="95" customFormat="false" ht="14.65" hidden="false" customHeight="false" outlineLevel="0" collapsed="false">
      <c r="A95" s="1" t="s">
        <v>121</v>
      </c>
      <c r="B95" s="1" t="n">
        <v>4</v>
      </c>
      <c r="C95" s="1" t="n">
        <v>61.2762</v>
      </c>
      <c r="D95" s="1" t="n">
        <v>53.724</v>
      </c>
      <c r="E95" s="1" t="n">
        <v>391</v>
      </c>
      <c r="F95" s="10" t="n">
        <f aca="false">(C95-$C$90)/(SQRT((D95^2/E95)+($D$90^2/$E$90)))</f>
        <v>-1.26658459671447</v>
      </c>
    </row>
    <row r="96" customFormat="false" ht="14.65" hidden="false" customHeight="false" outlineLevel="0" collapsed="false">
      <c r="A96" s="1" t="s">
        <v>122</v>
      </c>
      <c r="B96" s="1" t="n">
        <v>5</v>
      </c>
      <c r="C96" s="1" t="n">
        <v>65.4824</v>
      </c>
      <c r="D96" s="1" t="n">
        <v>55.0481</v>
      </c>
      <c r="E96" s="1" t="n">
        <v>1080</v>
      </c>
      <c r="F96" s="10" t="n">
        <f aca="false">(C96-$C$90)/(SQRT((D96^2/E96)+($D$90^2/$E$90)))</f>
        <v>0.362175987965801</v>
      </c>
    </row>
    <row r="97" customFormat="false" ht="14.65" hidden="false" customHeight="false" outlineLevel="0" collapsed="false">
      <c r="A97" s="1" t="s">
        <v>123</v>
      </c>
      <c r="B97" s="1" t="n">
        <v>6</v>
      </c>
      <c r="C97" s="1" t="n">
        <v>63.0243</v>
      </c>
      <c r="D97" s="1" t="n">
        <v>58.9074</v>
      </c>
      <c r="E97" s="1" t="n">
        <v>247</v>
      </c>
      <c r="F97" s="10" t="n">
        <f aca="false">(C97-$C$90)/(SQRT((D97^2/E97)+($D$90^2/$E$90)))</f>
        <v>-0.47286671254557</v>
      </c>
    </row>
    <row r="98" customFormat="false" ht="14.65" hidden="false" customHeight="false" outlineLevel="0" collapsed="false">
      <c r="A98" s="1" t="s">
        <v>124</v>
      </c>
      <c r="B98" s="1" t="n">
        <v>7</v>
      </c>
      <c r="C98" s="1" t="n">
        <v>62.0252</v>
      </c>
      <c r="D98" s="1" t="n">
        <v>63.8259</v>
      </c>
      <c r="E98" s="1" t="n">
        <v>675</v>
      </c>
      <c r="F98" s="10" t="n">
        <f aca="false">(C98-$C$90)/(SQRT((D98^2/E98)+($D$90^2/$E$90)))</f>
        <v>-1.09787132551964</v>
      </c>
    </row>
    <row r="99" customFormat="false" ht="14.65" hidden="false" customHeight="false" outlineLevel="0" collapsed="false">
      <c r="A99" s="1" t="s">
        <v>125</v>
      </c>
      <c r="B99" s="1" t="n">
        <v>8</v>
      </c>
      <c r="C99" s="1" t="n">
        <v>60.0689</v>
      </c>
      <c r="D99" s="1" t="n">
        <v>50.5518</v>
      </c>
      <c r="E99" s="1" t="n">
        <v>392</v>
      </c>
      <c r="F99" s="10" t="n">
        <f aca="false">(C99-$C$90)/(SQRT((D99^2/E99)+($D$90^2/$E$90)))</f>
        <v>-1.7989397002864</v>
      </c>
    </row>
    <row r="100" customFormat="false" ht="14.65" hidden="false" customHeight="false" outlineLevel="0" collapsed="false">
      <c r="A100" s="1" t="s">
        <v>126</v>
      </c>
      <c r="B100" s="1" t="n">
        <v>9</v>
      </c>
      <c r="C100" s="1" t="n">
        <v>65.5506</v>
      </c>
      <c r="D100" s="1" t="n">
        <v>64.4735</v>
      </c>
      <c r="E100" s="1" t="n">
        <v>1226</v>
      </c>
      <c r="F100" s="10" t="n">
        <f aca="false">(C100-$C$90)/(SQRT((D100^2/E100)+($D$90^2/$E$90)))</f>
        <v>0.368348078367537</v>
      </c>
    </row>
    <row r="102" customFormat="false" ht="14.65" hidden="false" customHeight="false" outlineLevel="0" collapsed="false">
      <c r="B102" s="1" t="s">
        <v>14</v>
      </c>
      <c r="C102" s="1" t="s">
        <v>15</v>
      </c>
      <c r="D102" s="1" t="s">
        <v>16</v>
      </c>
      <c r="E102" s="1" t="n">
        <v>8159</v>
      </c>
    </row>
    <row r="105" customFormat="false" ht="14.65" hidden="false" customHeight="false" outlineLevel="0" collapsed="false">
      <c r="A105" s="1" t="s">
        <v>117</v>
      </c>
      <c r="B105" s="1" t="s">
        <v>29</v>
      </c>
      <c r="C105" s="1" t="s">
        <v>30</v>
      </c>
      <c r="D105" s="1" t="s">
        <v>31</v>
      </c>
      <c r="E105" s="1" t="s">
        <v>32</v>
      </c>
      <c r="F105" s="10" t="s">
        <v>33</v>
      </c>
    </row>
    <row r="106" customFormat="false" ht="14.65" hidden="false" customHeight="false" outlineLevel="0" collapsed="false">
      <c r="A106" s="1" t="s">
        <v>118</v>
      </c>
      <c r="B106" s="15" t="n">
        <v>992.6132</v>
      </c>
      <c r="C106" s="15" t="n">
        <v>250.5188</v>
      </c>
      <c r="D106" s="15" t="n">
        <v>19.2566</v>
      </c>
      <c r="E106" s="15" t="n">
        <v>113.0357</v>
      </c>
      <c r="F106" s="10" t="n">
        <v>64.5756</v>
      </c>
    </row>
    <row r="107" customFormat="false" ht="14.65" hidden="false" customHeight="false" outlineLevel="0" collapsed="false">
      <c r="A107" s="1" t="s">
        <v>119</v>
      </c>
      <c r="B107" s="15" t="n">
        <v>990.7064</v>
      </c>
      <c r="C107" s="15" t="n">
        <v>258.6225</v>
      </c>
      <c r="D107" s="15" t="n">
        <v>23.4675</v>
      </c>
      <c r="E107" s="15" t="n">
        <v>96.7476</v>
      </c>
      <c r="F107" s="10" t="n">
        <v>70.456</v>
      </c>
    </row>
    <row r="108" customFormat="false" ht="14.65" hidden="false" customHeight="false" outlineLevel="0" collapsed="false">
      <c r="A108" s="1" t="s">
        <v>120</v>
      </c>
      <c r="B108" s="15" t="n">
        <v>977.1837</v>
      </c>
      <c r="C108" s="15" t="n">
        <v>269.9823</v>
      </c>
      <c r="D108" s="15" t="n">
        <v>21.0956</v>
      </c>
      <c r="E108" s="15" t="n">
        <v>109.4794</v>
      </c>
      <c r="F108" s="10" t="n">
        <v>62.259</v>
      </c>
    </row>
    <row r="109" customFormat="false" ht="14.65" hidden="false" customHeight="false" outlineLevel="0" collapsed="false">
      <c r="A109" s="1" t="s">
        <v>121</v>
      </c>
      <c r="B109" s="15" t="n">
        <v>963.2788</v>
      </c>
      <c r="C109" s="15" t="n">
        <v>251.5934</v>
      </c>
      <c r="D109" s="15" t="n">
        <v>18.8261</v>
      </c>
      <c r="E109" s="15" t="n">
        <v>145.0256</v>
      </c>
      <c r="F109" s="10" t="n">
        <v>61.2762</v>
      </c>
    </row>
    <row r="110" customFormat="false" ht="14.65" hidden="false" customHeight="false" outlineLevel="0" collapsed="false">
      <c r="A110" s="1" t="s">
        <v>122</v>
      </c>
      <c r="B110" s="15" t="n">
        <v>965.4111</v>
      </c>
      <c r="C110" s="15" t="n">
        <v>282.2972</v>
      </c>
      <c r="D110" s="15" t="n">
        <v>20.1713</v>
      </c>
      <c r="E110" s="15" t="n">
        <v>106.638</v>
      </c>
      <c r="F110" s="10" t="n">
        <v>65.4824</v>
      </c>
    </row>
    <row r="111" customFormat="false" ht="14.65" hidden="false" customHeight="false" outlineLevel="0" collapsed="false">
      <c r="A111" s="1" t="s">
        <v>123</v>
      </c>
      <c r="B111" s="15" t="n">
        <v>994.9474</v>
      </c>
      <c r="C111" s="15" t="n">
        <v>227.6761</v>
      </c>
      <c r="D111" s="15" t="n">
        <v>22.1619</v>
      </c>
      <c r="E111" s="15" t="n">
        <v>132.1903</v>
      </c>
      <c r="F111" s="10" t="n">
        <v>63.0243</v>
      </c>
    </row>
    <row r="112" customFormat="false" ht="14.65" hidden="false" customHeight="false" outlineLevel="0" collapsed="false">
      <c r="A112" s="1" t="s">
        <v>124</v>
      </c>
      <c r="B112" s="15" t="n">
        <v>1003.08</v>
      </c>
      <c r="C112" s="15" t="n">
        <v>239.7141</v>
      </c>
      <c r="D112" s="15" t="n">
        <v>23.0756</v>
      </c>
      <c r="E112" s="15" t="n">
        <v>112.1052</v>
      </c>
      <c r="F112" s="10" t="n">
        <v>62.0252</v>
      </c>
    </row>
    <row r="113" customFormat="false" ht="14.65" hidden="false" customHeight="false" outlineLevel="0" collapsed="false">
      <c r="A113" s="1" t="s">
        <v>125</v>
      </c>
      <c r="B113" s="15" t="n">
        <v>986.7755</v>
      </c>
      <c r="C113" s="15" t="n">
        <v>263.1122</v>
      </c>
      <c r="D113" s="15" t="n">
        <v>25.1454</v>
      </c>
      <c r="E113" s="15" t="n">
        <v>104.898</v>
      </c>
      <c r="F113" s="10" t="n">
        <v>60.0689</v>
      </c>
    </row>
    <row r="114" customFormat="false" ht="14.65" hidden="false" customHeight="false" outlineLevel="0" collapsed="false">
      <c r="A114" s="1" t="s">
        <v>126</v>
      </c>
      <c r="B114" s="15" t="n">
        <v>987.6028</v>
      </c>
      <c r="C114" s="15" t="n">
        <v>255.6297</v>
      </c>
      <c r="D114" s="15" t="n">
        <v>20.1109</v>
      </c>
      <c r="E114" s="15" t="n">
        <v>111.106</v>
      </c>
      <c r="F114" s="10" t="n">
        <v>65.5506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V7" activeCellId="0" sqref="V7 V7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3" min="3" style="1" width="7.99"/>
    <col collapsed="false" customWidth="true" hidden="false" outlineLevel="0" max="21" min="20" style="15" width="10.71"/>
    <col collapsed="false" customWidth="true" hidden="false" outlineLevel="0" max="22" min="22" style="10" width="10.71"/>
    <col collapsed="false" customWidth="true" hidden="false" outlineLevel="0" max="24" min="23" style="15" width="10.71"/>
    <col collapsed="false" customWidth="true" hidden="false" outlineLevel="0" max="25" min="25" style="10" width="10.71"/>
    <col collapsed="false" customWidth="true" hidden="false" outlineLevel="0" max="27" min="26" style="15" width="10.71"/>
    <col collapsed="false" customWidth="true" hidden="false" outlineLevel="0" max="28" min="28" style="10" width="10.71"/>
    <col collapsed="false" customWidth="true" hidden="false" outlineLevel="0" max="30" min="29" style="15" width="10.71"/>
    <col collapsed="false" customWidth="true" hidden="false" outlineLevel="0" max="31" min="31" style="10" width="10.71"/>
    <col collapsed="false" customWidth="true" hidden="false" outlineLevel="0" max="33" min="32" style="15" width="10.71"/>
    <col collapsed="false" customWidth="true" hidden="false" outlineLevel="0" max="34" min="34" style="10" width="10.71"/>
  </cols>
  <sheetData>
    <row r="1" customFormat="false" ht="14.65" hidden="false" customHeight="false" outlineLevel="0" collapsed="false"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K1" s="1" t="s">
        <v>2</v>
      </c>
      <c r="L1" s="1" t="s">
        <v>20</v>
      </c>
      <c r="M1" s="1" t="s">
        <v>21</v>
      </c>
      <c r="N1" s="1" t="s">
        <v>22</v>
      </c>
      <c r="O1" s="1" t="s">
        <v>23</v>
      </c>
      <c r="T1" s="15" t="s">
        <v>2</v>
      </c>
      <c r="U1" s="15" t="s">
        <v>2</v>
      </c>
      <c r="W1" s="15" t="s">
        <v>20</v>
      </c>
      <c r="X1" s="15" t="s">
        <v>20</v>
      </c>
      <c r="Z1" s="15" t="s">
        <v>21</v>
      </c>
      <c r="AA1" s="15" t="s">
        <v>21</v>
      </c>
      <c r="AC1" s="15" t="s">
        <v>22</v>
      </c>
      <c r="AD1" s="15" t="s">
        <v>22</v>
      </c>
      <c r="AF1" s="15" t="s">
        <v>23</v>
      </c>
      <c r="AG1" s="15" t="s">
        <v>23</v>
      </c>
    </row>
    <row r="4" customFormat="false" ht="14.65" hidden="false" customHeight="false" outlineLevel="0" collapsed="false">
      <c r="C4" s="1" t="s">
        <v>127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10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49</v>
      </c>
      <c r="S4" s="1" t="s">
        <v>127</v>
      </c>
      <c r="T4" s="15" t="s">
        <v>8</v>
      </c>
      <c r="U4" s="15" t="s">
        <v>49</v>
      </c>
      <c r="W4" s="15" t="s">
        <v>8</v>
      </c>
      <c r="X4" s="15" t="s">
        <v>49</v>
      </c>
      <c r="Z4" s="15" t="s">
        <v>8</v>
      </c>
      <c r="AA4" s="15" t="s">
        <v>49</v>
      </c>
      <c r="AC4" s="15" t="s">
        <v>8</v>
      </c>
      <c r="AD4" s="15" t="s">
        <v>49</v>
      </c>
      <c r="AF4" s="15" t="s">
        <v>8</v>
      </c>
      <c r="AG4" s="15" t="s">
        <v>49</v>
      </c>
      <c r="AI4" s="1" t="s">
        <v>10</v>
      </c>
    </row>
    <row r="6" customFormat="false" ht="14.65" hidden="false" customHeight="false" outlineLevel="0" collapsed="false">
      <c r="A6" s="1" t="s">
        <v>128</v>
      </c>
      <c r="D6" s="1" t="n">
        <v>984.1785</v>
      </c>
      <c r="E6" s="1" t="n">
        <f aca="false">AVERAGE(E8:E24)</f>
        <v>252.335041176471</v>
      </c>
      <c r="F6" s="1" t="n">
        <v>21.291</v>
      </c>
      <c r="G6" s="1" t="n">
        <v>109.905</v>
      </c>
      <c r="H6" s="1" t="n">
        <v>64.8264</v>
      </c>
      <c r="K6" s="1" t="n">
        <v>257.4312</v>
      </c>
      <c r="L6" s="1" t="n">
        <f aca="false">AVERAGE(L8:L24)</f>
        <v>267.051241176471</v>
      </c>
      <c r="M6" s="1" t="n">
        <v>56.2797</v>
      </c>
      <c r="N6" s="1" t="n">
        <v>158.4693</v>
      </c>
      <c r="O6" s="1" t="n">
        <v>62.2463</v>
      </c>
      <c r="T6" s="15" t="n">
        <v>984.1785</v>
      </c>
      <c r="U6" s="15" t="n">
        <v>257.4312</v>
      </c>
      <c r="W6" s="15" t="n">
        <f aca="false">AVERAGE(W8:W24)</f>
        <v>252.335041176471</v>
      </c>
      <c r="X6" s="15" t="n">
        <f aca="false">AVERAGE(X8:X24)</f>
        <v>267.051241176471</v>
      </c>
      <c r="Z6" s="15" t="n">
        <v>21.291</v>
      </c>
      <c r="AA6" s="15" t="n">
        <v>56.2797</v>
      </c>
      <c r="AC6" s="15" t="n">
        <v>109.905</v>
      </c>
      <c r="AD6" s="15" t="n">
        <v>158.4693</v>
      </c>
      <c r="AF6" s="15" t="n">
        <v>64.8264</v>
      </c>
      <c r="AG6" s="15" t="n">
        <v>62.2463</v>
      </c>
      <c r="AI6" s="1" t="n">
        <f aca="false">SUM(AI8:AI24)</f>
        <v>8159</v>
      </c>
    </row>
    <row r="7" customFormat="false" ht="14.65" hidden="false" customHeight="false" outlineLevel="0" collapsed="false">
      <c r="C7" s="1" t="s">
        <v>127</v>
      </c>
      <c r="D7" s="1" t="s">
        <v>75</v>
      </c>
      <c r="E7" s="1" t="s">
        <v>76</v>
      </c>
      <c r="F7" s="1" t="s">
        <v>77</v>
      </c>
      <c r="G7" s="1" t="s">
        <v>78</v>
      </c>
      <c r="H7" s="1" t="s">
        <v>79</v>
      </c>
      <c r="S7" s="1" t="s">
        <v>127</v>
      </c>
      <c r="T7" s="15" t="s">
        <v>75</v>
      </c>
      <c r="W7" s="15" t="s">
        <v>76</v>
      </c>
      <c r="Z7" s="15" t="s">
        <v>77</v>
      </c>
      <c r="AC7" s="15" t="s">
        <v>78</v>
      </c>
      <c r="AF7" s="15" t="s">
        <v>79</v>
      </c>
    </row>
    <row r="8" customFormat="false" ht="14.65" hidden="false" customHeight="false" outlineLevel="0" collapsed="false">
      <c r="A8" s="1" t="n">
        <v>1</v>
      </c>
      <c r="B8" s="1" t="n">
        <v>0</v>
      </c>
      <c r="C8" s="1" t="n">
        <v>5000</v>
      </c>
      <c r="D8" s="1" t="n">
        <v>1053.45</v>
      </c>
      <c r="E8" s="1" t="n">
        <v>133.575</v>
      </c>
      <c r="F8" s="1" t="n">
        <v>19.25</v>
      </c>
      <c r="G8" s="1" t="n">
        <v>170.0167</v>
      </c>
      <c r="H8" s="1" t="n">
        <v>63.7083</v>
      </c>
      <c r="I8" s="1" t="n">
        <v>120</v>
      </c>
      <c r="K8" s="1" t="n">
        <v>232.7032</v>
      </c>
      <c r="L8" s="1" t="n">
        <v>230.6767</v>
      </c>
      <c r="M8" s="1" t="n">
        <v>47.0989</v>
      </c>
      <c r="N8" s="1" t="n">
        <v>191.1497</v>
      </c>
      <c r="O8" s="1" t="n">
        <v>67.8025</v>
      </c>
      <c r="S8" s="1" t="n">
        <v>5000</v>
      </c>
      <c r="T8" s="15" t="n">
        <v>1053.45</v>
      </c>
      <c r="U8" s="15" t="n">
        <v>232.7032</v>
      </c>
      <c r="V8" s="10" t="n">
        <f aca="false">(T8-T$6)/(SQRT((U8^2/$AI8)+(U$6^2/$AI$6)))</f>
        <v>3.23198296939492</v>
      </c>
      <c r="W8" s="15" t="n">
        <v>133.575</v>
      </c>
      <c r="X8" s="15" t="n">
        <v>230.6767</v>
      </c>
      <c r="Y8" s="10" t="n">
        <f aca="false">(W8-W$6)/(SQRT((X8^2/$AI8)+(X$6^2/$AI$6)))</f>
        <v>-5.58494000792763</v>
      </c>
      <c r="Z8" s="15" t="n">
        <v>19.25</v>
      </c>
      <c r="AA8" s="15" t="n">
        <v>47.0989</v>
      </c>
      <c r="AB8" s="10" t="n">
        <f aca="false">(Z8-Z$6)/(SQRT((AA8^2/$AI8)+(AA$6^2/$AI$6)))</f>
        <v>-0.469796654828677</v>
      </c>
      <c r="AC8" s="15" t="n">
        <v>170.0167</v>
      </c>
      <c r="AD8" s="15" t="n">
        <v>191.1497</v>
      </c>
      <c r="AE8" s="10" t="n">
        <f aca="false">(AC8-AC$6)/(SQRT((AD8^2/$AI8)+(AD$6^2/$AI$6)))</f>
        <v>3.4276146985756</v>
      </c>
      <c r="AF8" s="15" t="n">
        <v>63.7083</v>
      </c>
      <c r="AG8" s="15" t="n">
        <v>67.8025</v>
      </c>
      <c r="AH8" s="10" t="n">
        <f aca="false">(AF8-AF$6)/(SQRT((AG8^2/$AI8)+(AG$6^2/$AI$6)))</f>
        <v>-0.179535511164511</v>
      </c>
      <c r="AI8" s="1" t="n">
        <v>120</v>
      </c>
    </row>
    <row r="9" customFormat="false" ht="14.65" hidden="false" customHeight="false" outlineLevel="0" collapsed="false">
      <c r="A9" s="1" t="n">
        <v>2</v>
      </c>
      <c r="B9" s="1" t="n">
        <v>5000</v>
      </c>
      <c r="C9" s="1" t="n">
        <v>9999</v>
      </c>
      <c r="D9" s="1" t="n">
        <v>1067.3627</v>
      </c>
      <c r="E9" s="1" t="n">
        <v>168.4261</v>
      </c>
      <c r="F9" s="1" t="n">
        <v>18.6725</v>
      </c>
      <c r="G9" s="1" t="n">
        <v>129.5282</v>
      </c>
      <c r="H9" s="1" t="n">
        <v>56.0106</v>
      </c>
      <c r="I9" s="1" t="n">
        <v>284</v>
      </c>
      <c r="K9" s="1" t="n">
        <v>248.3162</v>
      </c>
      <c r="L9" s="1" t="n">
        <v>245.7303</v>
      </c>
      <c r="M9" s="1" t="n">
        <v>52.5154</v>
      </c>
      <c r="N9" s="1" t="n">
        <v>190.3586</v>
      </c>
      <c r="O9" s="1" t="n">
        <v>54.3106</v>
      </c>
      <c r="S9" s="1" t="n">
        <v>9999</v>
      </c>
      <c r="T9" s="15" t="n">
        <v>1067.3627</v>
      </c>
      <c r="U9" s="15" t="n">
        <v>248.3162</v>
      </c>
      <c r="V9" s="10" t="n">
        <f aca="false">(T9-T$6)/(SQRT((U9^2/$AI9)+(U$6^2/$AI$6)))</f>
        <v>5.54267786226882</v>
      </c>
      <c r="W9" s="15" t="n">
        <v>168.4261</v>
      </c>
      <c r="X9" s="15" t="n">
        <v>245.7303</v>
      </c>
      <c r="Y9" s="10" t="n">
        <f aca="false">(W9-W$6)/(SQRT((X9^2/$AI9)+(X$6^2/$AI$6)))</f>
        <v>-5.63975552451608</v>
      </c>
      <c r="Z9" s="15" t="n">
        <v>18.6725</v>
      </c>
      <c r="AA9" s="15" t="n">
        <v>52.5154</v>
      </c>
      <c r="AB9" s="10" t="n">
        <f aca="false">(Z9-Z$6)/(SQRT((AA9^2/$AI9)+(AA$6^2/$AI$6)))</f>
        <v>-0.823973370654202</v>
      </c>
      <c r="AC9" s="15" t="n">
        <v>129.5282</v>
      </c>
      <c r="AD9" s="15" t="n">
        <v>190.3586</v>
      </c>
      <c r="AE9" s="10" t="n">
        <f aca="false">(AC9-AC$6)/(SQRT((AD9^2/$AI9)+(AD$6^2/$AI$6)))</f>
        <v>1.71664499980776</v>
      </c>
      <c r="AF9" s="15" t="n">
        <v>56.0106</v>
      </c>
      <c r="AG9" s="15" t="n">
        <v>54.3106</v>
      </c>
      <c r="AH9" s="10" t="n">
        <f aca="false">(AF9-AF$6)/(SQRT((AG9^2/$AI9)+(AG$6^2/$AI$6)))</f>
        <v>-2.67502514242072</v>
      </c>
      <c r="AI9" s="1" t="n">
        <v>284</v>
      </c>
    </row>
    <row r="10" customFormat="false" ht="14.65" hidden="false" customHeight="false" outlineLevel="0" collapsed="false">
      <c r="A10" s="1" t="n">
        <v>3</v>
      </c>
      <c r="B10" s="1" t="n">
        <v>10000</v>
      </c>
      <c r="C10" s="1" t="n">
        <v>14999</v>
      </c>
      <c r="D10" s="1" t="n">
        <v>1037.1792</v>
      </c>
      <c r="E10" s="1" t="n">
        <v>209.8428</v>
      </c>
      <c r="F10" s="1" t="n">
        <v>17.5566</v>
      </c>
      <c r="G10" s="1" t="n">
        <v>119.9465</v>
      </c>
      <c r="H10" s="1" t="n">
        <v>55.4748</v>
      </c>
      <c r="I10" s="1" t="n">
        <v>318</v>
      </c>
      <c r="K10" s="1" t="n">
        <v>252.5491</v>
      </c>
      <c r="L10" s="1" t="n">
        <v>257.7172</v>
      </c>
      <c r="M10" s="1" t="n">
        <v>45.4293</v>
      </c>
      <c r="N10" s="1" t="n">
        <v>164.7509</v>
      </c>
      <c r="O10" s="1" t="n">
        <v>46.8267</v>
      </c>
      <c r="S10" s="1" t="n">
        <v>14999</v>
      </c>
      <c r="T10" s="15" t="n">
        <v>1037.1792</v>
      </c>
      <c r="U10" s="15" t="n">
        <v>252.5491</v>
      </c>
      <c r="V10" s="10" t="n">
        <f aca="false">(T10-T$6)/(SQRT((U10^2/$AI10)+(U$6^2/$AI$6)))</f>
        <v>3.66884160347245</v>
      </c>
      <c r="W10" s="15" t="n">
        <v>209.8428</v>
      </c>
      <c r="X10" s="15" t="n">
        <v>257.7172</v>
      </c>
      <c r="Y10" s="10" t="n">
        <f aca="false">(W10-W$6)/(SQRT((X10^2/$AI10)+(X$6^2/$AI$6)))</f>
        <v>-2.88056217334337</v>
      </c>
      <c r="Z10" s="15" t="n">
        <v>17.5566</v>
      </c>
      <c r="AA10" s="15" t="n">
        <v>45.4293</v>
      </c>
      <c r="AB10" s="10" t="n">
        <f aca="false">(Z10-Z$6)/(SQRT((AA10^2/$AI10)+(AA$6^2/$AI$6)))</f>
        <v>-1.42391148435729</v>
      </c>
      <c r="AC10" s="15" t="n">
        <v>119.9465</v>
      </c>
      <c r="AD10" s="15" t="n">
        <v>164.7509</v>
      </c>
      <c r="AE10" s="10" t="n">
        <f aca="false">(AC10-AC$6)/(SQRT((AD10^2/$AI10)+(AD$6^2/$AI$6)))</f>
        <v>1.0678049214783</v>
      </c>
      <c r="AF10" s="15" t="n">
        <v>55.4748</v>
      </c>
      <c r="AG10" s="15" t="n">
        <v>46.8267</v>
      </c>
      <c r="AH10" s="10" t="n">
        <f aca="false">(AF10-AF$6)/(SQRT((AG10^2/$AI10)+(AG$6^2/$AI$6)))</f>
        <v>-3.44463716304807</v>
      </c>
      <c r="AI10" s="1" t="n">
        <v>318</v>
      </c>
    </row>
    <row r="11" customFormat="false" ht="14.65" hidden="false" customHeight="false" outlineLevel="0" collapsed="false">
      <c r="A11" s="1" t="n">
        <v>4</v>
      </c>
      <c r="B11" s="1" t="n">
        <v>15000</v>
      </c>
      <c r="C11" s="1" t="n">
        <f aca="false">+C10+5000</f>
        <v>19999</v>
      </c>
      <c r="D11" s="1" t="n">
        <v>1017.1875</v>
      </c>
      <c r="E11" s="1" t="n">
        <v>243.5313</v>
      </c>
      <c r="F11" s="1" t="n">
        <v>20.6465</v>
      </c>
      <c r="G11" s="1" t="n">
        <v>100.7461</v>
      </c>
      <c r="H11" s="1" t="n">
        <v>57.8887</v>
      </c>
      <c r="I11" s="1" t="n">
        <v>512</v>
      </c>
      <c r="K11" s="1" t="n">
        <v>256.9953</v>
      </c>
      <c r="L11" s="1" t="n">
        <v>267.8346</v>
      </c>
      <c r="M11" s="1" t="n">
        <v>65.0979</v>
      </c>
      <c r="N11" s="1" t="n">
        <v>138.3114</v>
      </c>
      <c r="O11" s="1" t="n">
        <v>57.4853</v>
      </c>
      <c r="S11" s="1" t="n">
        <f aca="false">+S10+5000</f>
        <v>19999</v>
      </c>
      <c r="T11" s="15" t="n">
        <v>1017.1875</v>
      </c>
      <c r="U11" s="15" t="n">
        <v>256.9953</v>
      </c>
      <c r="V11" s="10" t="n">
        <f aca="false">(T11-T$6)/(SQRT((U11^2/$AI11)+(U$6^2/$AI$6)))</f>
        <v>2.8189184521183</v>
      </c>
      <c r="W11" s="15" t="n">
        <v>243.5313</v>
      </c>
      <c r="X11" s="15" t="n">
        <v>267.8346</v>
      </c>
      <c r="Y11" s="10" t="n">
        <f aca="false">(W11-W$6)/(SQRT((X11^2/$AI11)+(X$6^2/$AI$6)))</f>
        <v>-0.721596380451476</v>
      </c>
      <c r="Z11" s="15" t="n">
        <v>20.6465</v>
      </c>
      <c r="AA11" s="15" t="n">
        <v>65.0979</v>
      </c>
      <c r="AB11" s="10" t="n">
        <f aca="false">(Z11-Z$6)/(SQRT((AA11^2/$AI11)+(AA$6^2/$AI$6)))</f>
        <v>-0.218946323226933</v>
      </c>
      <c r="AC11" s="15" t="n">
        <v>100.7461</v>
      </c>
      <c r="AD11" s="15" t="n">
        <v>138.3114</v>
      </c>
      <c r="AE11" s="10" t="n">
        <f aca="false">(AC11-AC$6)/(SQRT((AD11^2/$AI11)+(AD$6^2/$AI$6)))</f>
        <v>-1.44022713910038</v>
      </c>
      <c r="AF11" s="15" t="n">
        <v>57.8887</v>
      </c>
      <c r="AG11" s="15" t="n">
        <v>57.4853</v>
      </c>
      <c r="AH11" s="10" t="n">
        <f aca="false">(AF11-AF$6)/(SQRT((AG11^2/$AI11)+(AG$6^2/$AI$6)))</f>
        <v>-2.6355844909824</v>
      </c>
      <c r="AI11" s="1" t="n">
        <v>512</v>
      </c>
    </row>
    <row r="12" customFormat="false" ht="14.65" hidden="false" customHeight="false" outlineLevel="0" collapsed="false">
      <c r="A12" s="1" t="n">
        <v>5</v>
      </c>
      <c r="B12" s="1" t="n">
        <f aca="false">+B11+5000</f>
        <v>20000</v>
      </c>
      <c r="C12" s="1" t="n">
        <f aca="false">+C11+5000</f>
        <v>24999</v>
      </c>
      <c r="D12" s="1" t="n">
        <v>998.7952</v>
      </c>
      <c r="E12" s="1" t="n">
        <v>256.3876</v>
      </c>
      <c r="F12" s="1" t="n">
        <v>20.8333</v>
      </c>
      <c r="G12" s="1" t="n">
        <v>106.4378</v>
      </c>
      <c r="H12" s="1" t="n">
        <v>57.5462</v>
      </c>
      <c r="I12" s="1" t="n">
        <v>498</v>
      </c>
      <c r="K12" s="1" t="n">
        <v>258.7138</v>
      </c>
      <c r="L12" s="1" t="n">
        <v>272.672</v>
      </c>
      <c r="M12" s="1" t="n">
        <v>54.8931</v>
      </c>
      <c r="N12" s="1" t="n">
        <v>150.3742</v>
      </c>
      <c r="O12" s="1" t="n">
        <v>51.5905</v>
      </c>
      <c r="S12" s="1" t="n">
        <f aca="false">+S11+5000</f>
        <v>24999</v>
      </c>
      <c r="T12" s="15" t="n">
        <v>998.7952</v>
      </c>
      <c r="U12" s="15" t="n">
        <v>258.7138</v>
      </c>
      <c r="V12" s="10" t="n">
        <f aca="false">(T12-T$6)/(SQRT((U12^2/$AI12)+(U$6^2/$AI$6)))</f>
        <v>1.22434201173685</v>
      </c>
      <c r="W12" s="15" t="n">
        <v>256.3876</v>
      </c>
      <c r="X12" s="15" t="n">
        <v>272.672</v>
      </c>
      <c r="Y12" s="10" t="n">
        <f aca="false">(W12-W$6)/(SQRT((X12^2/$AI12)+(X$6^2/$AI$6)))</f>
        <v>0.322365455102931</v>
      </c>
      <c r="Z12" s="15" t="n">
        <v>20.8333</v>
      </c>
      <c r="AA12" s="15" t="n">
        <v>54.8931</v>
      </c>
      <c r="AB12" s="10" t="n">
        <f aca="false">(Z12-Z$6)/(SQRT((AA12^2/$AI12)+(AA$6^2/$AI$6)))</f>
        <v>-0.180374225358786</v>
      </c>
      <c r="AC12" s="15" t="n">
        <v>106.4378</v>
      </c>
      <c r="AD12" s="15" t="n">
        <v>150.3742</v>
      </c>
      <c r="AE12" s="10" t="n">
        <f aca="false">(AC12-AC$6)/(SQRT((AD12^2/$AI12)+(AD$6^2/$AI$6)))</f>
        <v>-0.497941416645577</v>
      </c>
      <c r="AF12" s="15" t="n">
        <v>57.5462</v>
      </c>
      <c r="AG12" s="15" t="n">
        <v>51.5905</v>
      </c>
      <c r="AH12" s="10" t="n">
        <f aca="false">(AF12-AF$6)/(SQRT((AG12^2/$AI12)+(AG$6^2/$AI$6)))</f>
        <v>-3.01788923192378</v>
      </c>
      <c r="AI12" s="1" t="n">
        <v>498</v>
      </c>
    </row>
    <row r="13" customFormat="false" ht="14.65" hidden="false" customHeight="false" outlineLevel="0" collapsed="false">
      <c r="A13" s="1" t="n">
        <v>6</v>
      </c>
      <c r="B13" s="1" t="n">
        <f aca="false">+B12+5000</f>
        <v>25000</v>
      </c>
      <c r="C13" s="1" t="n">
        <f aca="false">+C12+5000</f>
        <v>29999</v>
      </c>
      <c r="D13" s="1" t="n">
        <v>1010.973</v>
      </c>
      <c r="E13" s="1" t="n">
        <v>240.027</v>
      </c>
      <c r="F13" s="1" t="n">
        <v>18.8551</v>
      </c>
      <c r="G13" s="1" t="n">
        <v>111.1619</v>
      </c>
      <c r="H13" s="1" t="n">
        <v>58.983</v>
      </c>
      <c r="I13" s="1" t="n">
        <v>704</v>
      </c>
      <c r="K13" s="1" t="n">
        <v>258.5705</v>
      </c>
      <c r="L13" s="1" t="n">
        <v>270.6218</v>
      </c>
      <c r="M13" s="1" t="n">
        <v>44.2752</v>
      </c>
      <c r="N13" s="1" t="n">
        <v>159.9659</v>
      </c>
      <c r="O13" s="1" t="n">
        <v>56.175</v>
      </c>
      <c r="S13" s="1" t="n">
        <f aca="false">+S12+5000</f>
        <v>29999</v>
      </c>
      <c r="T13" s="15" t="n">
        <v>1010.973</v>
      </c>
      <c r="U13" s="15" t="n">
        <v>258.5705</v>
      </c>
      <c r="V13" s="10" t="n">
        <f aca="false">(T13-T$6)/(SQRT((U13^2/$AI13)+(U$6^2/$AI$6)))</f>
        <v>2.63896006878111</v>
      </c>
      <c r="W13" s="15" t="n">
        <v>240.027</v>
      </c>
      <c r="X13" s="15" t="n">
        <v>270.6218</v>
      </c>
      <c r="Y13" s="10" t="n">
        <f aca="false">(W13-W$6)/(SQRT((X13^2/$AI13)+(X$6^2/$AI$6)))</f>
        <v>-1.15902605030951</v>
      </c>
      <c r="Z13" s="15" t="n">
        <v>18.8551</v>
      </c>
      <c r="AA13" s="15" t="n">
        <v>44.2752</v>
      </c>
      <c r="AB13" s="10" t="n">
        <f aca="false">(Z13-Z$6)/(SQRT((AA13^2/$AI13)+(AA$6^2/$AI$6)))</f>
        <v>-1.36755170207475</v>
      </c>
      <c r="AC13" s="15" t="n">
        <v>111.1619</v>
      </c>
      <c r="AD13" s="15" t="n">
        <v>159.9659</v>
      </c>
      <c r="AE13" s="10" t="n">
        <f aca="false">(AC13-AC$6)/(SQRT((AD13^2/$AI13)+(AD$6^2/$AI$6)))</f>
        <v>0.200174707849071</v>
      </c>
      <c r="AF13" s="15" t="n">
        <v>58.983</v>
      </c>
      <c r="AG13" s="15" t="n">
        <v>56.175</v>
      </c>
      <c r="AH13" s="10" t="n">
        <f aca="false">(AF13-AF$6)/(SQRT((AG13^2/$AI13)+(AG$6^2/$AI$6)))</f>
        <v>-2.62447404929948</v>
      </c>
      <c r="AI13" s="1" t="n">
        <v>704</v>
      </c>
    </row>
    <row r="14" customFormat="false" ht="14.65" hidden="false" customHeight="false" outlineLevel="0" collapsed="false">
      <c r="A14" s="1" t="n">
        <v>7</v>
      </c>
      <c r="B14" s="1" t="n">
        <f aca="false">+B13+5000</f>
        <v>30000</v>
      </c>
      <c r="C14" s="1" t="n">
        <f aca="false">+C13+5000</f>
        <v>34999</v>
      </c>
      <c r="D14" s="1" t="n">
        <v>986.3347</v>
      </c>
      <c r="E14" s="1" t="n">
        <v>250.1275</v>
      </c>
      <c r="F14" s="1" t="n">
        <v>25.1975</v>
      </c>
      <c r="G14" s="1" t="n">
        <v>116.07</v>
      </c>
      <c r="H14" s="1" t="n">
        <v>62.2703</v>
      </c>
      <c r="I14" s="1" t="n">
        <v>714</v>
      </c>
      <c r="K14" s="1" t="n">
        <v>258.8899</v>
      </c>
      <c r="L14" s="1" t="n">
        <v>269.7973</v>
      </c>
      <c r="M14" s="1" t="n">
        <v>62.757</v>
      </c>
      <c r="N14" s="1" t="n">
        <v>170.566</v>
      </c>
      <c r="O14" s="1" t="n">
        <v>61.545</v>
      </c>
      <c r="S14" s="1" t="n">
        <f aca="false">+S13+5000</f>
        <v>34999</v>
      </c>
      <c r="T14" s="15" t="n">
        <v>986.3347</v>
      </c>
      <c r="U14" s="15" t="n">
        <v>258.8899</v>
      </c>
      <c r="V14" s="10" t="n">
        <f aca="false">(T14-T$6)/(SQRT((U14^2/$AI14)+(U$6^2/$AI$6)))</f>
        <v>0.213502373553618</v>
      </c>
      <c r="W14" s="15" t="n">
        <v>250.1275</v>
      </c>
      <c r="X14" s="15" t="n">
        <v>269.7973</v>
      </c>
      <c r="Y14" s="10" t="n">
        <f aca="false">(W14-W$6)/(SQRT((X14^2/$AI14)+(X$6^2/$AI$6)))</f>
        <v>-0.209825238017094</v>
      </c>
      <c r="Z14" s="15" t="n">
        <v>25.1975</v>
      </c>
      <c r="AA14" s="15" t="n">
        <v>62.757</v>
      </c>
      <c r="AB14" s="10" t="n">
        <f aca="false">(Z14-Z$6)/(SQRT((AA14^2/$AI14)+(AA$6^2/$AI$6)))</f>
        <v>1.60770386511431</v>
      </c>
      <c r="AC14" s="15" t="n">
        <v>116.07</v>
      </c>
      <c r="AD14" s="15" t="n">
        <v>170.566</v>
      </c>
      <c r="AE14" s="10" t="n">
        <f aca="false">(AC14-AC$6)/(SQRT((AD14^2/$AI14)+(AD$6^2/$AI$6)))</f>
        <v>0.931272550535478</v>
      </c>
      <c r="AF14" s="15" t="n">
        <v>62.2703</v>
      </c>
      <c r="AG14" s="15" t="n">
        <v>61.545</v>
      </c>
      <c r="AH14" s="10" t="n">
        <f aca="false">(AF14-AF$6)/(SQRT((AG14^2/$AI14)+(AG$6^2/$AI$6)))</f>
        <v>-1.06320565037975</v>
      </c>
      <c r="AI14" s="1" t="n">
        <v>714</v>
      </c>
    </row>
    <row r="15" customFormat="false" ht="14.65" hidden="false" customHeight="false" outlineLevel="0" collapsed="false">
      <c r="A15" s="1" t="n">
        <v>8</v>
      </c>
      <c r="B15" s="1" t="n">
        <f aca="false">+B14+5000</f>
        <v>35000</v>
      </c>
      <c r="C15" s="1" t="n">
        <f aca="false">+C14+5000</f>
        <v>39999</v>
      </c>
      <c r="D15" s="1" t="n">
        <v>976.6307</v>
      </c>
      <c r="E15" s="1" t="n">
        <v>280.7425</v>
      </c>
      <c r="F15" s="1" t="n">
        <v>18.7464</v>
      </c>
      <c r="G15" s="1" t="n">
        <v>102.4369</v>
      </c>
      <c r="H15" s="1" t="n">
        <v>61.4434</v>
      </c>
      <c r="I15" s="1" t="n">
        <v>769</v>
      </c>
      <c r="K15" s="1" t="n">
        <v>257.7315</v>
      </c>
      <c r="L15" s="1" t="n">
        <v>271.1488</v>
      </c>
      <c r="M15" s="1" t="n">
        <v>46.2269</v>
      </c>
      <c r="N15" s="1" t="n">
        <v>155.565</v>
      </c>
      <c r="O15" s="1" t="n">
        <v>61.0229</v>
      </c>
      <c r="S15" s="1" t="n">
        <f aca="false">+S14+5000</f>
        <v>39999</v>
      </c>
      <c r="T15" s="15" t="n">
        <v>976.6307</v>
      </c>
      <c r="U15" s="15" t="n">
        <v>257.7315</v>
      </c>
      <c r="V15" s="10" t="n">
        <f aca="false">(T15-T$6)/(SQRT((U15^2/$AI15)+(U$6^2/$AI$6)))</f>
        <v>-0.776427649656058</v>
      </c>
      <c r="W15" s="15" t="n">
        <v>280.7425</v>
      </c>
      <c r="X15" s="15" t="n">
        <v>271.1488</v>
      </c>
      <c r="Y15" s="10" t="n">
        <f aca="false">(W15-W$6)/(SQRT((X15^2/$AI15)+(X$6^2/$AI$6)))</f>
        <v>2.78093599172453</v>
      </c>
      <c r="Z15" s="15" t="n">
        <v>18.7464</v>
      </c>
      <c r="AA15" s="15" t="n">
        <v>46.2269</v>
      </c>
      <c r="AB15" s="10" t="n">
        <f aca="false">(Z15-Z$6)/(SQRT((AA15^2/$AI15)+(AA$6^2/$AI$6)))</f>
        <v>-1.42985572551388</v>
      </c>
      <c r="AC15" s="15" t="n">
        <v>102.4369</v>
      </c>
      <c r="AD15" s="15" t="n">
        <v>155.565</v>
      </c>
      <c r="AE15" s="10" t="n">
        <f aca="false">(AC15-AC$6)/(SQRT((AD15^2/$AI15)+(AD$6^2/$AI$6)))</f>
        <v>-1.27057126378819</v>
      </c>
      <c r="AF15" s="15" t="n">
        <v>61.4434</v>
      </c>
      <c r="AG15" s="15" t="n">
        <v>61.0229</v>
      </c>
      <c r="AH15" s="10" t="n">
        <f aca="false">(AF15-AF$6)/(SQRT((AG15^2/$AI15)+(AG$6^2/$AI$6)))</f>
        <v>-1.4670926842513</v>
      </c>
      <c r="AI15" s="1" t="n">
        <v>769</v>
      </c>
    </row>
    <row r="16" customFormat="false" ht="14.65" hidden="false" customHeight="false" outlineLevel="0" collapsed="false">
      <c r="A16" s="1" t="n">
        <v>9</v>
      </c>
      <c r="B16" s="1" t="n">
        <f aca="false">+B15+5000</f>
        <v>40000</v>
      </c>
      <c r="C16" s="1" t="n">
        <f aca="false">+C15+5000</f>
        <v>44999</v>
      </c>
      <c r="D16" s="1" t="n">
        <v>972.6529</v>
      </c>
      <c r="E16" s="1" t="n">
        <v>267.473</v>
      </c>
      <c r="F16" s="1" t="n">
        <v>23.7194</v>
      </c>
      <c r="G16" s="1" t="n">
        <v>109.7482</v>
      </c>
      <c r="H16" s="1" t="n">
        <v>66.4065</v>
      </c>
      <c r="I16" s="1" t="n">
        <v>556</v>
      </c>
      <c r="K16" s="1" t="n">
        <v>267.3578</v>
      </c>
      <c r="L16" s="1" t="n">
        <v>276.5471</v>
      </c>
      <c r="M16" s="1" t="n">
        <v>59.9787</v>
      </c>
      <c r="N16" s="1" t="n">
        <v>167.203</v>
      </c>
      <c r="O16" s="1" t="n">
        <v>63.8151</v>
      </c>
      <c r="S16" s="1" t="n">
        <f aca="false">+S15+5000</f>
        <v>44999</v>
      </c>
      <c r="T16" s="15" t="n">
        <v>972.6529</v>
      </c>
      <c r="U16" s="15" t="n">
        <v>267.3578</v>
      </c>
      <c r="V16" s="10" t="n">
        <f aca="false">(T16-T$6)/(SQRT((U16^2/$AI16)+(U$6^2/$AI$6)))</f>
        <v>-0.985836362433548</v>
      </c>
      <c r="W16" s="15" t="n">
        <v>267.473</v>
      </c>
      <c r="X16" s="15" t="n">
        <v>276.5471</v>
      </c>
      <c r="Y16" s="10" t="n">
        <f aca="false">(W16-W$6)/(SQRT((X16^2/$AI16)+(X$6^2/$AI$6)))</f>
        <v>1.25157664044518</v>
      </c>
      <c r="Z16" s="15" t="n">
        <v>23.7194</v>
      </c>
      <c r="AA16" s="15" t="n">
        <v>59.9787</v>
      </c>
      <c r="AB16" s="10" t="n">
        <f aca="false">(Z16-Z$6)/(SQRT((AA16^2/$AI16)+(AA$6^2/$AI$6)))</f>
        <v>0.927273290589792</v>
      </c>
      <c r="AC16" s="15" t="n">
        <v>109.7482</v>
      </c>
      <c r="AD16" s="15" t="n">
        <v>167.203</v>
      </c>
      <c r="AE16" s="10" t="n">
        <f aca="false">(AC16-AC$6)/(SQRT((AD16^2/$AI16)+(AD$6^2/$AI$6)))</f>
        <v>-0.0214653618267735</v>
      </c>
      <c r="AF16" s="15" t="n">
        <v>66.4065</v>
      </c>
      <c r="AG16" s="15" t="n">
        <v>63.8151</v>
      </c>
      <c r="AH16" s="10" t="n">
        <f aca="false">(AF16-AF$6)/(SQRT((AG16^2/$AI16)+(AG$6^2/$AI$6)))</f>
        <v>0.565792383278799</v>
      </c>
      <c r="AI16" s="1" t="n">
        <v>556</v>
      </c>
    </row>
    <row r="17" customFormat="false" ht="14.65" hidden="false" customHeight="false" outlineLevel="0" collapsed="false">
      <c r="A17" s="1" t="n">
        <v>10</v>
      </c>
      <c r="B17" s="1" t="n">
        <f aca="false">+B16+5000</f>
        <v>45000</v>
      </c>
      <c r="C17" s="1" t="n">
        <f aca="false">+C16+5000</f>
        <v>49999</v>
      </c>
      <c r="D17" s="1" t="n">
        <v>950.9948</v>
      </c>
      <c r="E17" s="1" t="n">
        <v>283.2118</v>
      </c>
      <c r="F17" s="1" t="n">
        <v>24.4167</v>
      </c>
      <c r="G17" s="1" t="n">
        <v>112.5729</v>
      </c>
      <c r="H17" s="1" t="n">
        <v>68.8038</v>
      </c>
      <c r="I17" s="1" t="n">
        <v>576</v>
      </c>
      <c r="K17" s="1" t="n">
        <v>252.9753</v>
      </c>
      <c r="L17" s="1" t="n">
        <v>272.6043</v>
      </c>
      <c r="M17" s="1" t="n">
        <v>59.7346</v>
      </c>
      <c r="N17" s="1" t="n">
        <v>164.1086</v>
      </c>
      <c r="O17" s="1" t="n">
        <v>84.2415</v>
      </c>
      <c r="S17" s="1" t="n">
        <f aca="false">+S16+5000</f>
        <v>49999</v>
      </c>
      <c r="T17" s="15" t="n">
        <v>950.9948</v>
      </c>
      <c r="U17" s="15" t="n">
        <v>252.9753</v>
      </c>
      <c r="V17" s="10" t="n">
        <f aca="false">(T17-T$6)/(SQRT((U17^2/$AI17)+(U$6^2/$AI$6)))</f>
        <v>-3.03904173971869</v>
      </c>
      <c r="W17" s="15" t="n">
        <v>283.2118</v>
      </c>
      <c r="X17" s="15" t="n">
        <v>272.6043</v>
      </c>
      <c r="Y17" s="10" t="n">
        <f aca="false">(W17-W$6)/(SQRT((X17^2/$AI17)+(X$6^2/$AI$6)))</f>
        <v>2.63072501040492</v>
      </c>
      <c r="Z17" s="15" t="n">
        <v>24.4167</v>
      </c>
      <c r="AA17" s="15" t="n">
        <v>59.7346</v>
      </c>
      <c r="AB17" s="10" t="n">
        <f aca="false">(Z17-Z$6)/(SQRT((AA17^2/$AI17)+(AA$6^2/$AI$6)))</f>
        <v>1.21824329106692</v>
      </c>
      <c r="AC17" s="15" t="n">
        <v>112.5729</v>
      </c>
      <c r="AD17" s="15" t="n">
        <v>164.1086</v>
      </c>
      <c r="AE17" s="10" t="n">
        <f aca="false">(AC17-AC$6)/(SQRT((AD17^2/$AI17)+(AD$6^2/$AI$6)))</f>
        <v>0.377925162718059</v>
      </c>
      <c r="AF17" s="15" t="n">
        <v>68.8038</v>
      </c>
      <c r="AG17" s="15" t="n">
        <v>84.2415</v>
      </c>
      <c r="AH17" s="10" t="n">
        <f aca="false">(AF17-AF$6)/(SQRT((AG17^2/$AI17)+(AG$6^2/$AI$6)))</f>
        <v>1.11191579946226</v>
      </c>
      <c r="AI17" s="1" t="n">
        <v>576</v>
      </c>
    </row>
    <row r="18" customFormat="false" ht="14.65" hidden="false" customHeight="false" outlineLevel="0" collapsed="false">
      <c r="A18" s="1" t="n">
        <v>11</v>
      </c>
      <c r="B18" s="1" t="n">
        <f aca="false">+B17+5000</f>
        <v>50000</v>
      </c>
      <c r="C18" s="1" t="n">
        <f aca="false">+C17+5000</f>
        <v>54999</v>
      </c>
      <c r="D18" s="1" t="n">
        <v>974.4905</v>
      </c>
      <c r="E18" s="1" t="n">
        <v>282.9847</v>
      </c>
      <c r="F18" s="1" t="n">
        <v>27.0763</v>
      </c>
      <c r="G18" s="1" t="n">
        <v>88.1374</v>
      </c>
      <c r="H18" s="1" t="n">
        <v>67.3111</v>
      </c>
      <c r="I18" s="1" t="n">
        <v>524</v>
      </c>
      <c r="K18" s="1" t="n">
        <v>248.476</v>
      </c>
      <c r="L18" s="1" t="n">
        <v>272.7349</v>
      </c>
      <c r="M18" s="1" t="n">
        <v>81.4223</v>
      </c>
      <c r="N18" s="1" t="n">
        <v>134.4839</v>
      </c>
      <c r="O18" s="1" t="n">
        <v>56.8482</v>
      </c>
      <c r="S18" s="1" t="n">
        <f aca="false">+S17+5000</f>
        <v>54999</v>
      </c>
      <c r="T18" s="15" t="n">
        <v>974.4905</v>
      </c>
      <c r="U18" s="15" t="n">
        <v>248.476</v>
      </c>
      <c r="V18" s="10" t="n">
        <f aca="false">(T18-T$6)/(SQRT((U18^2/$AI18)+(U$6^2/$AI$6)))</f>
        <v>-0.86325562822216</v>
      </c>
      <c r="W18" s="15" t="n">
        <v>282.9847</v>
      </c>
      <c r="X18" s="15" t="n">
        <v>272.7349</v>
      </c>
      <c r="Y18" s="10" t="n">
        <f aca="false">(W18-W$6)/(SQRT((X18^2/$AI18)+(X$6^2/$AI$6)))</f>
        <v>2.49675137802635</v>
      </c>
      <c r="Z18" s="15" t="n">
        <v>27.0763</v>
      </c>
      <c r="AA18" s="15" t="n">
        <v>81.4223</v>
      </c>
      <c r="AB18" s="10" t="n">
        <f aca="false">(Z18-Z$6)/(SQRT((AA18^2/$AI18)+(AA$6^2/$AI$6)))</f>
        <v>1.60208445588172</v>
      </c>
      <c r="AC18" s="15" t="n">
        <v>88.1374</v>
      </c>
      <c r="AD18" s="15" t="n">
        <v>134.4839</v>
      </c>
      <c r="AE18" s="10" t="n">
        <f aca="false">(AC18-AC$6)/(SQRT((AD18^2/$AI18)+(AD$6^2/$AI$6)))</f>
        <v>-3.5502343910714</v>
      </c>
      <c r="AF18" s="15" t="n">
        <v>67.3111</v>
      </c>
      <c r="AG18" s="15" t="n">
        <v>56.8482</v>
      </c>
      <c r="AH18" s="10" t="n">
        <f aca="false">(AF18-AF$6)/(SQRT((AG18^2/$AI18)+(AG$6^2/$AI$6)))</f>
        <v>0.964084567893577</v>
      </c>
      <c r="AI18" s="1" t="n">
        <v>524</v>
      </c>
    </row>
    <row r="19" customFormat="false" ht="14.65" hidden="false" customHeight="false" outlineLevel="0" collapsed="false">
      <c r="A19" s="1" t="n">
        <v>12</v>
      </c>
      <c r="B19" s="1" t="n">
        <f aca="false">+B18+5000</f>
        <v>55000</v>
      </c>
      <c r="C19" s="1" t="n">
        <f aca="false">+C18+5000</f>
        <v>59999</v>
      </c>
      <c r="D19" s="1" t="n">
        <v>974.6</v>
      </c>
      <c r="E19" s="1" t="n">
        <v>264.9138</v>
      </c>
      <c r="F19" s="1" t="n">
        <v>20.5853</v>
      </c>
      <c r="G19" s="1" t="n">
        <v>109.0862</v>
      </c>
      <c r="H19" s="1" t="n">
        <v>70.8147</v>
      </c>
      <c r="I19" s="1" t="n">
        <v>545</v>
      </c>
      <c r="K19" s="1" t="n">
        <v>256.4116</v>
      </c>
      <c r="L19" s="1" t="n">
        <v>270.7834</v>
      </c>
      <c r="M19" s="1" t="n">
        <v>52.2344</v>
      </c>
      <c r="N19" s="1" t="n">
        <v>149.7968</v>
      </c>
      <c r="O19" s="1" t="n">
        <v>69.8892</v>
      </c>
      <c r="S19" s="1" t="n">
        <f aca="false">+S18+5000</f>
        <v>59999</v>
      </c>
      <c r="T19" s="15" t="n">
        <v>974.6</v>
      </c>
      <c r="U19" s="15" t="n">
        <v>256.4116</v>
      </c>
      <c r="V19" s="10" t="n">
        <f aca="false">(T19-T$6)/(SQRT((U19^2/$AI19)+(U$6^2/$AI$6)))</f>
        <v>-0.84412894326848</v>
      </c>
      <c r="W19" s="15" t="n">
        <v>264.9138</v>
      </c>
      <c r="X19" s="15" t="n">
        <v>270.7834</v>
      </c>
      <c r="Y19" s="10" t="n">
        <f aca="false">(W19-W$6)/(SQRT((X19^2/$AI19)+(X$6^2/$AI$6)))</f>
        <v>1.05086170676139</v>
      </c>
      <c r="Z19" s="15" t="n">
        <v>20.5853</v>
      </c>
      <c r="AA19" s="15" t="n">
        <v>52.2344</v>
      </c>
      <c r="AB19" s="10" t="n">
        <f aca="false">(Z19-Z$6)/(SQRT((AA19^2/$AI19)+(AA$6^2/$AI$6)))</f>
        <v>-0.303839470520509</v>
      </c>
      <c r="AC19" s="15" t="n">
        <v>109.0862</v>
      </c>
      <c r="AD19" s="15" t="n">
        <v>149.7968</v>
      </c>
      <c r="AE19" s="10" t="n">
        <f aca="false">(AC19-AC$6)/(SQRT((AD19^2/$AI19)+(AD$6^2/$AI$6)))</f>
        <v>-0.123088833093216</v>
      </c>
      <c r="AF19" s="15" t="n">
        <v>70.8147</v>
      </c>
      <c r="AG19" s="15" t="n">
        <v>69.8892</v>
      </c>
      <c r="AH19" s="10" t="n">
        <f aca="false">(AF19-AF$6)/(SQRT((AG19^2/$AI19)+(AG$6^2/$AI$6)))</f>
        <v>1.94930724702138</v>
      </c>
      <c r="AI19" s="1" t="n">
        <v>545</v>
      </c>
    </row>
    <row r="20" customFormat="false" ht="14.65" hidden="false" customHeight="false" outlineLevel="0" collapsed="false">
      <c r="A20" s="1" t="n">
        <v>13</v>
      </c>
      <c r="B20" s="1" t="n">
        <f aca="false">+B19+5000</f>
        <v>60000</v>
      </c>
      <c r="C20" s="1" t="n">
        <f aca="false">+C19+5000</f>
        <v>64999</v>
      </c>
      <c r="D20" s="1" t="n">
        <v>966.6007</v>
      </c>
      <c r="E20" s="1" t="n">
        <v>265.3819</v>
      </c>
      <c r="F20" s="1" t="n">
        <v>15.5799</v>
      </c>
      <c r="G20" s="1" t="n">
        <v>119.9965</v>
      </c>
      <c r="H20" s="1" t="n">
        <v>72.441</v>
      </c>
      <c r="I20" s="1" t="n">
        <v>288</v>
      </c>
      <c r="K20" s="1" t="n">
        <v>262.7024</v>
      </c>
      <c r="L20" s="1" t="n">
        <v>281.6791</v>
      </c>
      <c r="M20" s="1" t="n">
        <v>39.5618</v>
      </c>
      <c r="N20" s="1" t="n">
        <v>168.4732</v>
      </c>
      <c r="O20" s="1" t="n">
        <v>66.8244</v>
      </c>
      <c r="S20" s="1" t="n">
        <f aca="false">+S19+5000</f>
        <v>64999</v>
      </c>
      <c r="T20" s="15" t="n">
        <v>966.6007</v>
      </c>
      <c r="U20" s="15" t="n">
        <v>262.7024</v>
      </c>
      <c r="V20" s="10" t="n">
        <f aca="false">(T20-T$6)/(SQRT((U20^2/$AI20)+(U$6^2/$AI$6)))</f>
        <v>-1.11675594205773</v>
      </c>
      <c r="W20" s="15" t="n">
        <v>265.3819</v>
      </c>
      <c r="X20" s="15" t="n">
        <v>281.6791</v>
      </c>
      <c r="Y20" s="10" t="n">
        <f aca="false">(W20-W$6)/(SQRT((X20^2/$AI20)+(X$6^2/$AI$6)))</f>
        <v>0.773864785250132</v>
      </c>
      <c r="Z20" s="15" t="n">
        <v>15.5799</v>
      </c>
      <c r="AA20" s="15" t="n">
        <v>39.5618</v>
      </c>
      <c r="AB20" s="10" t="n">
        <f aca="false">(Z20-Z$6)/(SQRT((AA20^2/$AI20)+(AA$6^2/$AI$6)))</f>
        <v>-2.36677615570752</v>
      </c>
      <c r="AC20" s="15" t="n">
        <v>119.9965</v>
      </c>
      <c r="AD20" s="15" t="n">
        <v>168.4732</v>
      </c>
      <c r="AE20" s="10" t="n">
        <f aca="false">(AC20-AC$6)/(SQRT((AD20^2/$AI20)+(AD$6^2/$AI$6)))</f>
        <v>1.001021001973</v>
      </c>
      <c r="AF20" s="15" t="n">
        <v>72.441</v>
      </c>
      <c r="AG20" s="15" t="n">
        <v>66.8244</v>
      </c>
      <c r="AH20" s="10" t="n">
        <f aca="false">(AF20-AF$6)/(SQRT((AG20^2/$AI20)+(AG$6^2/$AI$6)))</f>
        <v>1.90483513436351</v>
      </c>
      <c r="AI20" s="1" t="n">
        <v>288</v>
      </c>
    </row>
    <row r="21" customFormat="false" ht="14.65" hidden="false" customHeight="false" outlineLevel="0" collapsed="false">
      <c r="A21" s="1" t="n">
        <v>14</v>
      </c>
      <c r="B21" s="1" t="n">
        <f aca="false">+B20+5000</f>
        <v>65000</v>
      </c>
      <c r="C21" s="1" t="n">
        <f aca="false">+C20+5000</f>
        <v>69999</v>
      </c>
      <c r="D21" s="1" t="n">
        <v>963.0199</v>
      </c>
      <c r="E21" s="1" t="n">
        <v>271.9858</v>
      </c>
      <c r="F21" s="1" t="n">
        <v>23.4473</v>
      </c>
      <c r="G21" s="1" t="n">
        <v>110.3732</v>
      </c>
      <c r="H21" s="1" t="n">
        <v>71.1738</v>
      </c>
      <c r="I21" s="1" t="n">
        <v>351</v>
      </c>
      <c r="K21" s="1" t="n">
        <v>256.8789</v>
      </c>
      <c r="L21" s="1" t="n">
        <v>265.9298</v>
      </c>
      <c r="M21" s="1" t="n">
        <v>53.6327</v>
      </c>
      <c r="N21" s="1" t="n">
        <v>158.5944</v>
      </c>
      <c r="O21" s="1" t="n">
        <v>57.5266</v>
      </c>
      <c r="S21" s="1" t="n">
        <f aca="false">+S20+5000</f>
        <v>69999</v>
      </c>
      <c r="T21" s="15" t="n">
        <v>963.0199</v>
      </c>
      <c r="U21" s="15" t="n">
        <v>256.8789</v>
      </c>
      <c r="V21" s="10" t="n">
        <f aca="false">(T21-T$6)/(SQRT((U21^2/$AI21)+(U$6^2/$AI$6)))</f>
        <v>-1.51087031771048</v>
      </c>
      <c r="W21" s="15" t="n">
        <v>271.9858</v>
      </c>
      <c r="X21" s="15" t="n">
        <v>265.9298</v>
      </c>
      <c r="Y21" s="10" t="n">
        <f aca="false">(W21-W$6)/(SQRT((X21^2/$AI21)+(X$6^2/$AI$6)))</f>
        <v>1.35532633860123</v>
      </c>
      <c r="Z21" s="15" t="n">
        <v>23.4473</v>
      </c>
      <c r="AA21" s="15" t="n">
        <v>53.6327</v>
      </c>
      <c r="AB21" s="10" t="n">
        <f aca="false">(Z21-Z$6)/(SQRT((AA21^2/$AI21)+(AA$6^2/$AI$6)))</f>
        <v>0.736008391291929</v>
      </c>
      <c r="AC21" s="15" t="n">
        <v>110.3732</v>
      </c>
      <c r="AD21" s="15" t="n">
        <v>158.5944</v>
      </c>
      <c r="AE21" s="10" t="n">
        <f aca="false">(AC21-AC$6)/(SQRT((AD21^2/$AI21)+(AD$6^2/$AI$6)))</f>
        <v>0.0541582883779209</v>
      </c>
      <c r="AF21" s="15" t="n">
        <v>71.1738</v>
      </c>
      <c r="AG21" s="15" t="n">
        <v>57.5266</v>
      </c>
      <c r="AH21" s="10" t="n">
        <f aca="false">(AF21-AF$6)/(SQRT((AG21^2/$AI21)+(AG$6^2/$AI$6)))</f>
        <v>2.01701837465329</v>
      </c>
      <c r="AI21" s="1" t="n">
        <v>351</v>
      </c>
    </row>
    <row r="22" customFormat="false" ht="14.65" hidden="false" customHeight="false" outlineLevel="0" collapsed="false">
      <c r="A22" s="1" t="n">
        <v>15</v>
      </c>
      <c r="B22" s="1" t="n">
        <f aca="false">+B21+5000</f>
        <v>70000</v>
      </c>
      <c r="C22" s="1" t="n">
        <f aca="false">+C21+5000</f>
        <v>74999</v>
      </c>
      <c r="D22" s="1" t="n">
        <v>958.257</v>
      </c>
      <c r="E22" s="1" t="n">
        <v>291.0522</v>
      </c>
      <c r="F22" s="1" t="n">
        <v>22.1928</v>
      </c>
      <c r="G22" s="1" t="n">
        <v>98.0763</v>
      </c>
      <c r="H22" s="1" t="n">
        <v>70.4217</v>
      </c>
      <c r="I22" s="1" t="n">
        <v>249</v>
      </c>
      <c r="K22" s="1" t="n">
        <v>259.9208</v>
      </c>
      <c r="L22" s="1" t="n">
        <v>260.9355</v>
      </c>
      <c r="M22" s="1" t="n">
        <v>65.8978</v>
      </c>
      <c r="N22" s="1" t="n">
        <v>138.8026</v>
      </c>
      <c r="O22" s="1" t="n">
        <v>66.4909</v>
      </c>
      <c r="S22" s="1" t="n">
        <f aca="false">+S21+5000</f>
        <v>74999</v>
      </c>
      <c r="T22" s="15" t="n">
        <v>958.257</v>
      </c>
      <c r="U22" s="15" t="n">
        <v>259.9208</v>
      </c>
      <c r="V22" s="10" t="n">
        <f aca="false">(T22-T$6)/(SQRT((U22^2/$AI22)+(U$6^2/$AI$6)))</f>
        <v>-1.5506490542513</v>
      </c>
      <c r="W22" s="15" t="n">
        <v>291.0522</v>
      </c>
      <c r="X22" s="15" t="n">
        <v>260.9355</v>
      </c>
      <c r="Y22" s="10" t="n">
        <f aca="false">(W22-W$6)/(SQRT((X22^2/$AI22)+(X$6^2/$AI$6)))</f>
        <v>2.30482171709449</v>
      </c>
      <c r="Z22" s="15" t="n">
        <v>22.1928</v>
      </c>
      <c r="AA22" s="15" t="n">
        <v>65.8978</v>
      </c>
      <c r="AB22" s="10" t="n">
        <f aca="false">(Z22-Z$6)/(SQRT((AA22^2/$AI22)+(AA$6^2/$AI$6)))</f>
        <v>0.213578885540534</v>
      </c>
      <c r="AC22" s="15" t="n">
        <v>98.0763</v>
      </c>
      <c r="AD22" s="15" t="n">
        <v>138.8026</v>
      </c>
      <c r="AE22" s="10" t="n">
        <f aca="false">(AC22-AC$6)/(SQRT((AD22^2/$AI22)+(AD$6^2/$AI$6)))</f>
        <v>-1.31876830016477</v>
      </c>
      <c r="AF22" s="15" t="n">
        <v>70.4217</v>
      </c>
      <c r="AG22" s="15" t="n">
        <v>66.4909</v>
      </c>
      <c r="AH22" s="10" t="n">
        <f aca="false">(AF22-AF$6)/(SQRT((AG22^2/$AI22)+(AG$6^2/$AI$6)))</f>
        <v>1.3104765316491</v>
      </c>
      <c r="AI22" s="1" t="n">
        <v>249</v>
      </c>
    </row>
    <row r="23" customFormat="false" ht="14.65" hidden="false" customHeight="false" outlineLevel="0" collapsed="false">
      <c r="A23" s="1" t="n">
        <v>16</v>
      </c>
      <c r="B23" s="1" t="n">
        <f aca="false">+B22+5000</f>
        <v>75000</v>
      </c>
      <c r="C23" s="1" t="n">
        <f aca="false">+C22+5000</f>
        <v>79999</v>
      </c>
      <c r="D23" s="1" t="n">
        <v>945.402</v>
      </c>
      <c r="E23" s="1" t="n">
        <v>302.5075</v>
      </c>
      <c r="F23" s="1" t="n">
        <v>21.5879</v>
      </c>
      <c r="G23" s="1" t="n">
        <v>102.3518</v>
      </c>
      <c r="H23" s="1" t="n">
        <v>68.1508</v>
      </c>
      <c r="I23" s="1" t="n">
        <v>199</v>
      </c>
      <c r="K23" s="1" t="n">
        <v>250.8625</v>
      </c>
      <c r="L23" s="1" t="n">
        <v>279.767</v>
      </c>
      <c r="M23" s="1" t="n">
        <v>47.944</v>
      </c>
      <c r="N23" s="1" t="n">
        <v>147.8786</v>
      </c>
      <c r="O23" s="1" t="n">
        <v>54.8887</v>
      </c>
      <c r="S23" s="1" t="n">
        <f aca="false">+S22+5000</f>
        <v>79999</v>
      </c>
      <c r="T23" s="15" t="n">
        <v>945.402</v>
      </c>
      <c r="U23" s="15" t="n">
        <v>250.8625</v>
      </c>
      <c r="V23" s="10" t="n">
        <f aca="false">(T23-T$6)/(SQRT((U23^2/$AI23)+(U$6^2/$AI$6)))</f>
        <v>-2.15304225889461</v>
      </c>
      <c r="W23" s="15" t="n">
        <v>302.5075</v>
      </c>
      <c r="X23" s="15" t="n">
        <v>279.767</v>
      </c>
      <c r="Y23" s="10" t="n">
        <f aca="false">(W23-W$6)/(SQRT((X23^2/$AI23)+(X$6^2/$AI$6)))</f>
        <v>2.50220281361222</v>
      </c>
      <c r="Z23" s="15" t="n">
        <v>21.5879</v>
      </c>
      <c r="AA23" s="15" t="n">
        <v>47.944</v>
      </c>
      <c r="AB23" s="10" t="n">
        <f aca="false">(Z23-Z$6)/(SQRT((AA23^2/$AI23)+(AA$6^2/$AI$6)))</f>
        <v>0.0859259617925124</v>
      </c>
      <c r="AC23" s="15" t="n">
        <v>102.3518</v>
      </c>
      <c r="AD23" s="15" t="n">
        <v>147.8786</v>
      </c>
      <c r="AE23" s="10" t="n">
        <f aca="false">(AC23-AC$6)/(SQRT((AD23^2/$AI23)+(AD$6^2/$AI$6)))</f>
        <v>-0.710646725079796</v>
      </c>
      <c r="AF23" s="15" t="n">
        <v>68.1508</v>
      </c>
      <c r="AG23" s="15" t="n">
        <v>54.8887</v>
      </c>
      <c r="AH23" s="10" t="n">
        <f aca="false">(AF23-AF$6)/(SQRT((AG23^2/$AI23)+(AG$6^2/$AI$6)))</f>
        <v>0.84129863637639</v>
      </c>
      <c r="AI23" s="1" t="n">
        <v>199</v>
      </c>
    </row>
    <row r="24" customFormat="false" ht="14.65" hidden="false" customHeight="false" outlineLevel="0" collapsed="false">
      <c r="A24" s="1" t="n">
        <v>17</v>
      </c>
      <c r="B24" s="1" t="n">
        <v>80000</v>
      </c>
      <c r="C24" s="16" t="s">
        <v>27</v>
      </c>
      <c r="D24" s="1" t="n">
        <v>957.8225</v>
      </c>
      <c r="E24" s="1" t="n">
        <v>277.5252</v>
      </c>
      <c r="F24" s="1" t="n">
        <v>19.6345</v>
      </c>
      <c r="G24" s="1" t="n">
        <v>112.7132</v>
      </c>
      <c r="H24" s="1" t="n">
        <v>72.3046</v>
      </c>
      <c r="I24" s="1" t="n">
        <v>952</v>
      </c>
      <c r="K24" s="1" t="n">
        <v>251.6598</v>
      </c>
      <c r="L24" s="1" t="n">
        <v>272.6913</v>
      </c>
      <c r="M24" s="1" t="n">
        <v>52.2358</v>
      </c>
      <c r="N24" s="1" t="n">
        <v>157.4409</v>
      </c>
      <c r="O24" s="1" t="n">
        <v>61.9933</v>
      </c>
      <c r="S24" s="16" t="s">
        <v>27</v>
      </c>
      <c r="T24" s="15" t="n">
        <v>957.8225</v>
      </c>
      <c r="U24" s="15" t="n">
        <v>251.6598</v>
      </c>
      <c r="V24" s="10" t="n">
        <f aca="false">(T24-T$6)/(SQRT((U24^2/$AI24)+(U$6^2/$AI$6)))</f>
        <v>-3.05048916123307</v>
      </c>
      <c r="W24" s="15" t="n">
        <v>277.5252</v>
      </c>
      <c r="X24" s="15" t="n">
        <v>272.6913</v>
      </c>
      <c r="Y24" s="10" t="n">
        <f aca="false">(W24-W$6)/(SQRT((X24^2/$AI24)+(X$6^2/$AI$6)))</f>
        <v>2.70298975039292</v>
      </c>
      <c r="Z24" s="15" t="n">
        <v>19.6345</v>
      </c>
      <c r="AA24" s="15" t="n">
        <v>52.2358</v>
      </c>
      <c r="AB24" s="10" t="n">
        <f aca="false">(Z24-Z$6)/(SQRT((AA24^2/$AI24)+(AA$6^2/$AI$6)))</f>
        <v>-0.91824457098165</v>
      </c>
      <c r="AC24" s="15" t="n">
        <v>112.7132</v>
      </c>
      <c r="AD24" s="15" t="n">
        <v>157.4409</v>
      </c>
      <c r="AE24" s="10" t="n">
        <f aca="false">(AC24-AC$6)/(SQRT((AD24^2/$AI24)+(AD$6^2/$AI$6)))</f>
        <v>0.520435855160372</v>
      </c>
      <c r="AF24" s="15" t="n">
        <v>72.3046</v>
      </c>
      <c r="AG24" s="15" t="n">
        <v>61.9933</v>
      </c>
      <c r="AH24" s="10" t="n">
        <f aca="false">(AF24-AF$6)/(SQRT((AG24^2/$AI24)+(AG$6^2/$AI$6)))</f>
        <v>3.52063290595938</v>
      </c>
      <c r="AI24" s="1" t="n">
        <v>952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:AA15 J1:AA15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2" style="1" width="9.28"/>
    <col collapsed="false" customWidth="true" hidden="false" outlineLevel="0" max="3" min="3" style="1" width="12.99"/>
    <col collapsed="false" customWidth="true" hidden="false" outlineLevel="0" max="4" min="4" style="1" width="5.28"/>
    <col collapsed="false" customWidth="true" hidden="false" outlineLevel="0" max="5" min="5" style="1" width="5.42"/>
    <col collapsed="false" customWidth="true" hidden="false" outlineLevel="0" max="6" min="6" style="1" width="5.99"/>
    <col collapsed="false" customWidth="true" hidden="false" outlineLevel="0" max="7" min="7" style="1" width="5.56"/>
    <col collapsed="false" customWidth="true" hidden="false" outlineLevel="0" max="8" min="8" style="1" width="12.85"/>
    <col collapsed="false" customWidth="true" hidden="false" outlineLevel="0" max="10" min="10" style="1" width="9.28"/>
    <col collapsed="false" customWidth="true" hidden="false" outlineLevel="0" max="11" min="11" style="1" width="12.99"/>
    <col collapsed="false" customWidth="true" hidden="false" outlineLevel="0" max="12" min="12" style="1" width="5.56"/>
    <col collapsed="false" customWidth="true" hidden="false" outlineLevel="0" max="13" min="13" style="1" width="8.28"/>
    <col collapsed="false" customWidth="true" hidden="false" outlineLevel="0" max="14" min="14" style="1" width="10.42"/>
    <col collapsed="false" customWidth="true" hidden="false" outlineLevel="0" max="15" min="15" style="1" width="5.85"/>
    <col collapsed="false" customWidth="true" hidden="false" outlineLevel="0" max="16" min="16" style="1" width="8.28"/>
    <col collapsed="false" customWidth="true" hidden="false" outlineLevel="0" max="17" min="17" style="1" width="10.42"/>
    <col collapsed="false" customWidth="true" hidden="false" outlineLevel="0" max="18" min="18" style="1" width="5.28"/>
    <col collapsed="false" customWidth="true" hidden="false" outlineLevel="0" max="19" min="19" style="1" width="8.28"/>
    <col collapsed="false" customWidth="true" hidden="false" outlineLevel="0" max="20" min="20" style="1" width="10.42"/>
    <col collapsed="false" customWidth="true" hidden="false" outlineLevel="0" max="21" min="21" style="1" width="6.28"/>
    <col collapsed="false" customWidth="true" hidden="false" outlineLevel="0" max="22" min="22" style="1" width="8.28"/>
    <col collapsed="false" customWidth="true" hidden="false" outlineLevel="0" max="23" min="23" style="1" width="10.42"/>
    <col collapsed="false" customWidth="true" hidden="false" outlineLevel="0" max="24" min="24" style="1" width="7.14"/>
    <col collapsed="false" customWidth="true" hidden="false" outlineLevel="0" max="25" min="25" style="1" width="8.28"/>
    <col collapsed="false" customWidth="true" hidden="false" outlineLevel="0" max="26" min="26" style="1" width="10.42"/>
    <col collapsed="false" customWidth="true" hidden="false" outlineLevel="0" max="27" min="27" style="1" width="4.99"/>
  </cols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  <c r="J1" s="1" t="s">
        <v>129</v>
      </c>
    </row>
    <row r="2" customFormat="false" ht="14.65" hidden="false" customHeight="false" outlineLevel="0" collapsed="false">
      <c r="A2" s="1" t="s">
        <v>3</v>
      </c>
      <c r="B2" s="1" t="s">
        <v>4</v>
      </c>
      <c r="C2" s="1" t="s">
        <v>1</v>
      </c>
      <c r="D2" s="1" t="s">
        <v>130</v>
      </c>
    </row>
    <row r="3" customFormat="false" ht="14.65" hidden="false" customHeight="false" outlineLevel="0" collapsed="false">
      <c r="J3" s="4"/>
      <c r="K3" s="4"/>
      <c r="L3" s="17" t="s">
        <v>29</v>
      </c>
      <c r="M3" s="4"/>
      <c r="N3" s="18"/>
      <c r="O3" s="17" t="s">
        <v>30</v>
      </c>
      <c r="P3" s="4"/>
      <c r="Q3" s="18"/>
      <c r="R3" s="17" t="s">
        <v>31</v>
      </c>
      <c r="S3" s="4"/>
      <c r="T3" s="18"/>
      <c r="U3" s="17" t="s">
        <v>32</v>
      </c>
      <c r="V3" s="4"/>
      <c r="W3" s="18"/>
      <c r="X3" s="17" t="s">
        <v>33</v>
      </c>
      <c r="Y3" s="4"/>
      <c r="Z3" s="18"/>
      <c r="AA3" s="4"/>
    </row>
    <row r="4" customFormat="false" ht="14.65" hidden="false" customHeight="false" outlineLevel="0" collapsed="false">
      <c r="A4" s="1" t="s">
        <v>6</v>
      </c>
      <c r="B4" s="1" t="s">
        <v>7</v>
      </c>
      <c r="C4" s="1" t="s">
        <v>48</v>
      </c>
      <c r="D4" s="1" t="s">
        <v>8</v>
      </c>
      <c r="E4" s="1" t="s">
        <v>49</v>
      </c>
      <c r="F4" s="1" t="s">
        <v>50</v>
      </c>
      <c r="G4" s="1" t="s">
        <v>15</v>
      </c>
      <c r="J4" s="5" t="s">
        <v>131</v>
      </c>
      <c r="K4" s="5" t="s">
        <v>132</v>
      </c>
      <c r="L4" s="19" t="s">
        <v>8</v>
      </c>
      <c r="M4" s="5" t="s">
        <v>133</v>
      </c>
      <c r="N4" s="20" t="s">
        <v>134</v>
      </c>
      <c r="O4" s="19" t="s">
        <v>8</v>
      </c>
      <c r="P4" s="5" t="s">
        <v>133</v>
      </c>
      <c r="Q4" s="20" t="s">
        <v>134</v>
      </c>
      <c r="R4" s="19" t="s">
        <v>8</v>
      </c>
      <c r="S4" s="5" t="s">
        <v>133</v>
      </c>
      <c r="T4" s="20" t="s">
        <v>134</v>
      </c>
      <c r="U4" s="19" t="s">
        <v>8</v>
      </c>
      <c r="V4" s="5" t="s">
        <v>133</v>
      </c>
      <c r="W4" s="20" t="s">
        <v>134</v>
      </c>
      <c r="X4" s="19" t="s">
        <v>8</v>
      </c>
      <c r="Y4" s="5" t="s">
        <v>133</v>
      </c>
      <c r="Z4" s="20" t="s">
        <v>134</v>
      </c>
      <c r="AA4" s="5" t="s">
        <v>10</v>
      </c>
    </row>
    <row r="5" customFormat="false" ht="14.65" hidden="false" customHeight="false" outlineLevel="0" collapsed="false">
      <c r="J5" s="6" t="s">
        <v>135</v>
      </c>
      <c r="K5" s="6" t="s">
        <v>136</v>
      </c>
      <c r="L5" s="21" t="n">
        <v>951.7458</v>
      </c>
      <c r="M5" s="7" t="n">
        <v>260.6294</v>
      </c>
      <c r="N5" s="22" t="n">
        <v>-3.07128514322402</v>
      </c>
      <c r="O5" s="21" t="n">
        <v>272.5495</v>
      </c>
      <c r="P5" s="7" t="n">
        <v>266.9376</v>
      </c>
      <c r="Q5" s="22" t="n">
        <v>1.17641000878631</v>
      </c>
      <c r="R5" s="21" t="n">
        <v>22.7062</v>
      </c>
      <c r="S5" s="7" t="n">
        <v>58.9361</v>
      </c>
      <c r="T5" s="22" t="n">
        <v>0.594062850466516</v>
      </c>
      <c r="U5" s="21" t="n">
        <v>124.239</v>
      </c>
      <c r="V5" s="7" t="n">
        <v>167.0959</v>
      </c>
      <c r="W5" s="22" t="n">
        <v>2.12324872897197</v>
      </c>
      <c r="X5" s="21" t="n">
        <v>68.7595</v>
      </c>
      <c r="Y5" s="7" t="n">
        <v>65.7737</v>
      </c>
      <c r="Z5" s="22" t="n">
        <v>1.4802799643602</v>
      </c>
      <c r="AA5" s="6" t="n">
        <v>657</v>
      </c>
    </row>
    <row r="6" customFormat="false" ht="14.65" hidden="false" customHeight="false" outlineLevel="0" collapsed="false">
      <c r="A6" s="1" t="s">
        <v>12</v>
      </c>
      <c r="B6" s="1" t="s">
        <v>13</v>
      </c>
      <c r="C6" s="1" t="n">
        <v>984.1785</v>
      </c>
      <c r="D6" s="1" t="n">
        <v>257.4312</v>
      </c>
      <c r="E6" s="1" t="n">
        <v>8159</v>
      </c>
      <c r="J6" s="6" t="s">
        <v>137</v>
      </c>
      <c r="K6" s="6" t="s">
        <v>136</v>
      </c>
      <c r="L6" s="21" t="n">
        <v>961.4885</v>
      </c>
      <c r="M6" s="7" t="n">
        <v>255.868</v>
      </c>
      <c r="N6" s="22" t="n">
        <v>-4.07435852944199</v>
      </c>
      <c r="O6" s="21" t="n">
        <v>280.964</v>
      </c>
      <c r="P6" s="7" t="n">
        <v>274.1318</v>
      </c>
      <c r="Q6" s="22" t="n">
        <v>3.56277392592287</v>
      </c>
      <c r="R6" s="21" t="n">
        <v>20.1115</v>
      </c>
      <c r="S6" s="7" t="n">
        <v>54.4652</v>
      </c>
      <c r="T6" s="22" t="n">
        <v>-0.987926289789418</v>
      </c>
      <c r="U6" s="21" t="n">
        <v>111.5171</v>
      </c>
      <c r="V6" s="7" t="n">
        <v>162.0791</v>
      </c>
      <c r="W6" s="22" t="n">
        <v>0.46035431669741</v>
      </c>
      <c r="X6" s="21" t="n">
        <v>65.9189</v>
      </c>
      <c r="Y6" s="7" t="n">
        <v>60.4833</v>
      </c>
      <c r="Z6" s="22" t="n">
        <v>0.824912953582766</v>
      </c>
      <c r="AA6" s="6" t="n">
        <v>2860</v>
      </c>
    </row>
    <row r="7" customFormat="false" ht="14.65" hidden="false" customHeight="false" outlineLevel="0" collapsed="false">
      <c r="J7" s="6" t="s">
        <v>135</v>
      </c>
      <c r="K7" s="6" t="s">
        <v>138</v>
      </c>
      <c r="L7" s="21" t="n">
        <v>1048.0833</v>
      </c>
      <c r="M7" s="7" t="n">
        <v>251.3536</v>
      </c>
      <c r="N7" s="22" t="n">
        <v>2.31769109931944</v>
      </c>
      <c r="O7" s="21" t="n">
        <v>176.7738</v>
      </c>
      <c r="P7" s="7" t="n">
        <v>245.8831</v>
      </c>
      <c r="Q7" s="22" t="n">
        <v>-3.07552000626665</v>
      </c>
      <c r="R7" s="21" t="n">
        <v>24.869</v>
      </c>
      <c r="S7" s="7" t="n">
        <v>45.1818</v>
      </c>
      <c r="T7" s="22" t="n">
        <v>0.720070655629168</v>
      </c>
      <c r="U7" s="21" t="n">
        <v>132.25</v>
      </c>
      <c r="V7" s="7" t="n">
        <v>159.1083</v>
      </c>
      <c r="W7" s="22" t="n">
        <v>1.28062130369165</v>
      </c>
      <c r="X7" s="21" t="n">
        <v>58.0238</v>
      </c>
      <c r="Y7" s="7" t="n">
        <v>51.1461</v>
      </c>
      <c r="Z7" s="22" t="n">
        <v>-1.20980603451311</v>
      </c>
      <c r="AA7" s="6" t="n">
        <v>84</v>
      </c>
    </row>
    <row r="8" customFormat="false" ht="14.65" hidden="false" customHeight="false" outlineLevel="0" collapsed="false">
      <c r="A8" s="1" t="s">
        <v>130</v>
      </c>
      <c r="B8" s="1" t="n">
        <v>1</v>
      </c>
      <c r="C8" s="1" t="n">
        <v>951.7458</v>
      </c>
      <c r="D8" s="1" t="n">
        <v>260.6294</v>
      </c>
      <c r="E8" s="1" t="n">
        <v>657</v>
      </c>
      <c r="F8" s="10" t="n">
        <v>-3.07128514322402</v>
      </c>
      <c r="J8" s="6" t="s">
        <v>137</v>
      </c>
      <c r="K8" s="6" t="s">
        <v>138</v>
      </c>
      <c r="L8" s="21" t="n">
        <v>1004.7092</v>
      </c>
      <c r="M8" s="7" t="n">
        <v>256.9751</v>
      </c>
      <c r="N8" s="22" t="n">
        <v>3.01459218943529</v>
      </c>
      <c r="O8" s="21" t="n">
        <v>253.1454</v>
      </c>
      <c r="P8" s="7" t="n">
        <v>274.4867</v>
      </c>
      <c r="Q8" s="22" t="n">
        <v>-0.916845120817053</v>
      </c>
      <c r="R8" s="21" t="n">
        <v>21.7769</v>
      </c>
      <c r="S8" s="7" t="n">
        <v>58.9701</v>
      </c>
      <c r="T8" s="22" t="n">
        <v>0.313453334027554</v>
      </c>
      <c r="U8" s="21" t="n">
        <v>97.748</v>
      </c>
      <c r="V8" s="7" t="n">
        <v>142.2697</v>
      </c>
      <c r="W8" s="22" t="n">
        <v>-3.1595478775537</v>
      </c>
      <c r="X8" s="21" t="n">
        <v>62.6205</v>
      </c>
      <c r="Y8" s="7" t="n">
        <v>58.5165</v>
      </c>
      <c r="Z8" s="22" t="n">
        <v>-1.40678246497652</v>
      </c>
      <c r="AA8" s="6" t="n">
        <v>1726</v>
      </c>
    </row>
    <row r="9" customFormat="false" ht="14.65" hidden="false" customHeight="false" outlineLevel="0" collapsed="false">
      <c r="A9" s="1" t="s">
        <v>130</v>
      </c>
      <c r="B9" s="1" t="n">
        <v>2</v>
      </c>
      <c r="C9" s="1" t="n">
        <v>961.4885</v>
      </c>
      <c r="D9" s="1" t="n">
        <v>255.868</v>
      </c>
      <c r="E9" s="1" t="n">
        <v>2860</v>
      </c>
      <c r="F9" s="10" t="n">
        <v>-4.07435852944199</v>
      </c>
      <c r="J9" s="6" t="s">
        <v>135</v>
      </c>
      <c r="K9" s="23" t="s">
        <v>139</v>
      </c>
      <c r="L9" s="21" t="n">
        <v>982.6233</v>
      </c>
      <c r="M9" s="7" t="n">
        <v>258.5448</v>
      </c>
      <c r="N9" s="22" t="n">
        <v>-0.0720457442963142</v>
      </c>
      <c r="O9" s="21" t="n">
        <v>252.9041</v>
      </c>
      <c r="P9" s="7" t="n">
        <v>258.8503</v>
      </c>
      <c r="Q9" s="22" t="n">
        <v>-0.318741012570355</v>
      </c>
      <c r="R9" s="21" t="n">
        <v>19.774</v>
      </c>
      <c r="S9" s="7" t="n">
        <v>39.5132</v>
      </c>
      <c r="T9" s="22" t="n">
        <v>-0.455697408476858</v>
      </c>
      <c r="U9" s="21" t="n">
        <v>121.4384</v>
      </c>
      <c r="V9" s="7" t="n">
        <v>154.2717</v>
      </c>
      <c r="W9" s="22" t="n">
        <v>0.8949230721371</v>
      </c>
      <c r="X9" s="21" t="n">
        <v>63.2603</v>
      </c>
      <c r="Y9" s="7" t="n">
        <v>57.0549</v>
      </c>
      <c r="Z9" s="22" t="n">
        <v>-0.328190902025059</v>
      </c>
      <c r="AA9" s="6" t="n">
        <v>146</v>
      </c>
    </row>
    <row r="10" customFormat="false" ht="14.65" hidden="false" customHeight="false" outlineLevel="0" collapsed="false">
      <c r="A10" s="1" t="s">
        <v>130</v>
      </c>
      <c r="B10" s="1" t="n">
        <v>3</v>
      </c>
      <c r="C10" s="1" t="n">
        <v>1048.0833</v>
      </c>
      <c r="D10" s="1" t="n">
        <v>251.3536</v>
      </c>
      <c r="E10" s="1" t="n">
        <v>84</v>
      </c>
      <c r="F10" s="10" t="n">
        <v>2.31769109931944</v>
      </c>
      <c r="J10" s="6" t="s">
        <v>137</v>
      </c>
      <c r="K10" s="6" t="s">
        <v>139</v>
      </c>
      <c r="L10" s="21" t="n">
        <v>981.0131</v>
      </c>
      <c r="M10" s="7" t="n">
        <v>254.099</v>
      </c>
      <c r="N10" s="22" t="n">
        <v>-0.436112945741653</v>
      </c>
      <c r="O10" s="21" t="n">
        <v>264.7177</v>
      </c>
      <c r="P10" s="7" t="n">
        <v>270.1157</v>
      </c>
      <c r="Q10" s="22" t="n">
        <v>0.638357186853145</v>
      </c>
      <c r="R10" s="21" t="n">
        <v>20.6549</v>
      </c>
      <c r="S10" s="7" t="n">
        <v>50.2127</v>
      </c>
      <c r="T10" s="22" t="n">
        <v>-0.436027896202425</v>
      </c>
      <c r="U10" s="21" t="n">
        <v>107.7516</v>
      </c>
      <c r="V10" s="7" t="n">
        <v>163.5349</v>
      </c>
      <c r="W10" s="22" t="n">
        <v>-0.464041739972891</v>
      </c>
      <c r="X10" s="21" t="n">
        <v>65.8627</v>
      </c>
      <c r="Y10" s="7" t="n">
        <v>66.45</v>
      </c>
      <c r="Z10" s="22" t="n">
        <v>0.55217475229867</v>
      </c>
      <c r="AA10" s="6" t="n">
        <v>1449</v>
      </c>
    </row>
    <row r="11" customFormat="false" ht="14.65" hidden="false" customHeight="false" outlineLevel="0" collapsed="false">
      <c r="A11" s="1" t="s">
        <v>130</v>
      </c>
      <c r="B11" s="1" t="n">
        <v>4</v>
      </c>
      <c r="C11" s="1" t="n">
        <v>1004.7092</v>
      </c>
      <c r="D11" s="1" t="n">
        <v>256.9751</v>
      </c>
      <c r="E11" s="1" t="n">
        <v>1726</v>
      </c>
      <c r="F11" s="10" t="n">
        <v>3.01459218943529</v>
      </c>
      <c r="J11" s="6" t="s">
        <v>135</v>
      </c>
      <c r="K11" s="6" t="s">
        <v>140</v>
      </c>
      <c r="L11" s="21" t="n">
        <v>973.6441</v>
      </c>
      <c r="M11" s="7" t="n">
        <v>242.1163</v>
      </c>
      <c r="N11" s="22" t="n">
        <v>-0.332846361399309</v>
      </c>
      <c r="O11" s="21" t="n">
        <v>220.2034</v>
      </c>
      <c r="P11" s="7" t="n">
        <v>248.6571</v>
      </c>
      <c r="Q11" s="22" t="n">
        <v>-1.21790450719524</v>
      </c>
      <c r="R11" s="21" t="n">
        <v>31.1356</v>
      </c>
      <c r="S11" s="7" t="n">
        <v>64.0542</v>
      </c>
      <c r="T11" s="22" t="n">
        <v>1.17724710351119</v>
      </c>
      <c r="U11" s="21" t="n">
        <v>151.7627</v>
      </c>
      <c r="V11" s="7" t="n">
        <v>180.1788</v>
      </c>
      <c r="W11" s="22" t="n">
        <v>1.77945253461959</v>
      </c>
      <c r="X11" s="21" t="n">
        <v>63.2542</v>
      </c>
      <c r="Y11" s="7" t="n">
        <v>63.8386</v>
      </c>
      <c r="Z11" s="22" t="n">
        <v>-0.188522267736443</v>
      </c>
      <c r="AA11" s="6" t="n">
        <v>59</v>
      </c>
    </row>
    <row r="12" customFormat="false" ht="14.65" hidden="false" customHeight="false" outlineLevel="0" collapsed="false">
      <c r="A12" s="1" t="s">
        <v>130</v>
      </c>
      <c r="B12" s="1" t="n">
        <v>5</v>
      </c>
      <c r="C12" s="1" t="n">
        <v>982.6233</v>
      </c>
      <c r="D12" s="1" t="n">
        <v>258.5448</v>
      </c>
      <c r="E12" s="1" t="n">
        <v>146</v>
      </c>
      <c r="F12" s="10" t="n">
        <v>-0.0720457442963142</v>
      </c>
      <c r="J12" s="6" t="s">
        <v>137</v>
      </c>
      <c r="K12" s="6" t="s">
        <v>140</v>
      </c>
      <c r="L12" s="21" t="n">
        <v>973.4725</v>
      </c>
      <c r="M12" s="7" t="n">
        <v>254.0989</v>
      </c>
      <c r="N12" s="22" t="n">
        <v>-1.08671232090493</v>
      </c>
      <c r="O12" s="21" t="n">
        <v>266.646</v>
      </c>
      <c r="P12" s="7" t="n">
        <v>267.2599</v>
      </c>
      <c r="Q12" s="22" t="n">
        <v>0.660680395222035</v>
      </c>
      <c r="R12" s="21" t="n">
        <v>21.865</v>
      </c>
      <c r="S12" s="7" t="n">
        <v>72.1465</v>
      </c>
      <c r="T12" s="22" t="n">
        <v>0.208792257770032</v>
      </c>
      <c r="U12" s="21" t="n">
        <v>112.3278</v>
      </c>
      <c r="V12" s="7" t="n">
        <v>160.3207</v>
      </c>
      <c r="W12" s="22" t="n">
        <v>0.390565469487837</v>
      </c>
      <c r="X12" s="21" t="n">
        <v>65.6887</v>
      </c>
      <c r="Y12" s="7" t="n">
        <v>68.5318</v>
      </c>
      <c r="Z12" s="22" t="n">
        <v>0.327229293383694</v>
      </c>
      <c r="AA12" s="6" t="n">
        <v>726</v>
      </c>
    </row>
    <row r="13" customFormat="false" ht="14.65" hidden="false" customHeight="false" outlineLevel="0" collapsed="false">
      <c r="A13" s="1" t="s">
        <v>130</v>
      </c>
      <c r="B13" s="1" t="n">
        <v>6</v>
      </c>
      <c r="C13" s="1" t="n">
        <v>981.0131</v>
      </c>
      <c r="D13" s="1" t="n">
        <v>254.099</v>
      </c>
      <c r="E13" s="1" t="n">
        <v>1449</v>
      </c>
      <c r="F13" s="10" t="n">
        <v>-0.436112945741653</v>
      </c>
      <c r="J13" s="6" t="s">
        <v>135</v>
      </c>
      <c r="K13" s="6" t="s">
        <v>141</v>
      </c>
      <c r="L13" s="21" t="n">
        <v>1180.1667</v>
      </c>
      <c r="M13" s="7" t="n">
        <v>222.3839</v>
      </c>
      <c r="N13" s="22" t="n">
        <v>4.30901438029765</v>
      </c>
      <c r="O13" s="21" t="n">
        <v>0</v>
      </c>
      <c r="P13" s="7" t="n">
        <v>0</v>
      </c>
      <c r="Q13" s="22" t="n">
        <v>-86.5288912972798</v>
      </c>
      <c r="R13" s="21" t="n">
        <v>28.3333</v>
      </c>
      <c r="S13" s="7" t="n">
        <v>38.0693</v>
      </c>
      <c r="T13" s="22" t="n">
        <v>0.903345175302841</v>
      </c>
      <c r="U13" s="21" t="n">
        <v>160.9167</v>
      </c>
      <c r="V13" s="7" t="n">
        <v>179.6518</v>
      </c>
      <c r="W13" s="22" t="n">
        <v>1.38946436624341</v>
      </c>
      <c r="X13" s="21" t="n">
        <v>70.5833</v>
      </c>
      <c r="Y13" s="7" t="n">
        <v>68.7351</v>
      </c>
      <c r="Z13" s="22" t="n">
        <v>0.409819414558465</v>
      </c>
      <c r="AA13" s="6" t="n">
        <v>24</v>
      </c>
    </row>
    <row r="14" customFormat="false" ht="14.65" hidden="false" customHeight="false" outlineLevel="0" collapsed="false">
      <c r="A14" s="1" t="s">
        <v>130</v>
      </c>
      <c r="B14" s="1" t="n">
        <v>7</v>
      </c>
      <c r="C14" s="1" t="n">
        <v>973.6441</v>
      </c>
      <c r="D14" s="1" t="n">
        <v>242.1163</v>
      </c>
      <c r="E14" s="1" t="n">
        <v>59</v>
      </c>
      <c r="F14" s="10" t="n">
        <v>-0.332846361399309</v>
      </c>
      <c r="J14" s="6" t="s">
        <v>137</v>
      </c>
      <c r="K14" s="6" t="s">
        <v>141</v>
      </c>
      <c r="L14" s="21" t="n">
        <v>1110.7553</v>
      </c>
      <c r="M14" s="7" t="n">
        <v>238.5247</v>
      </c>
      <c r="N14" s="22" t="n">
        <v>10.6224357687108</v>
      </c>
      <c r="O14" s="21" t="n">
        <v>136.9976</v>
      </c>
      <c r="P14" s="7" t="n">
        <v>229.2001</v>
      </c>
      <c r="Q14" s="22" t="n">
        <v>-10.6634425050854</v>
      </c>
      <c r="R14" s="21" t="n">
        <v>24.1553</v>
      </c>
      <c r="S14" s="7" t="n">
        <v>47.5648</v>
      </c>
      <c r="T14" s="22" t="n">
        <v>1.19851189046077</v>
      </c>
      <c r="U14" s="21" t="n">
        <v>111.2824</v>
      </c>
      <c r="V14" s="7" t="n">
        <v>155.1736</v>
      </c>
      <c r="W14" s="22" t="n">
        <v>0.178217061502296</v>
      </c>
      <c r="X14" s="21" t="n">
        <v>56.8094</v>
      </c>
      <c r="Y14" s="7" t="n">
        <v>59.4814</v>
      </c>
      <c r="Z14" s="22" t="n">
        <v>-2.7025793375023</v>
      </c>
      <c r="AA14" s="6" t="n">
        <v>425</v>
      </c>
    </row>
    <row r="15" customFormat="false" ht="14.65" hidden="false" customHeight="false" outlineLevel="0" collapsed="false">
      <c r="A15" s="1" t="s">
        <v>130</v>
      </c>
      <c r="B15" s="1" t="n">
        <v>8</v>
      </c>
      <c r="C15" s="1" t="n">
        <v>973.4725</v>
      </c>
      <c r="D15" s="1" t="n">
        <v>254.0989</v>
      </c>
      <c r="E15" s="1" t="n">
        <v>726</v>
      </c>
      <c r="F15" s="10" t="n">
        <v>-1.08671232090493</v>
      </c>
      <c r="J15" s="8"/>
      <c r="K15" s="8" t="s">
        <v>142</v>
      </c>
      <c r="L15" s="24" t="n">
        <v>984.1785</v>
      </c>
      <c r="M15" s="9" t="n">
        <v>257.4312</v>
      </c>
      <c r="N15" s="25"/>
      <c r="O15" s="24" t="n">
        <v>259.7991</v>
      </c>
      <c r="P15" s="9" t="n">
        <v>271.2033</v>
      </c>
      <c r="Q15" s="25"/>
      <c r="R15" s="24" t="n">
        <v>21.291</v>
      </c>
      <c r="S15" s="9" t="n">
        <v>56.2797</v>
      </c>
      <c r="T15" s="26" t="s">
        <v>11</v>
      </c>
      <c r="U15" s="24" t="n">
        <v>109.905</v>
      </c>
      <c r="V15" s="9" t="n">
        <v>158.4693</v>
      </c>
      <c r="W15" s="25"/>
      <c r="X15" s="24" t="n">
        <v>64.8264</v>
      </c>
      <c r="Y15" s="9" t="n">
        <v>62.2463</v>
      </c>
      <c r="Z15" s="25"/>
      <c r="AA15" s="8" t="n">
        <v>8159</v>
      </c>
    </row>
    <row r="16" customFormat="false" ht="14.65" hidden="false" customHeight="false" outlineLevel="0" collapsed="false">
      <c r="A16" s="1" t="s">
        <v>130</v>
      </c>
      <c r="B16" s="1" t="n">
        <v>9</v>
      </c>
      <c r="C16" s="1" t="n">
        <v>1180.1667</v>
      </c>
      <c r="D16" s="1" t="n">
        <v>222.3839</v>
      </c>
      <c r="E16" s="1" t="n">
        <v>24</v>
      </c>
      <c r="F16" s="10" t="n">
        <v>4.30901438029765</v>
      </c>
    </row>
    <row r="17" customFormat="false" ht="14.65" hidden="false" customHeight="false" outlineLevel="0" collapsed="false">
      <c r="A17" s="1" t="s">
        <v>130</v>
      </c>
      <c r="B17" s="1" t="n">
        <v>10</v>
      </c>
      <c r="C17" s="1" t="n">
        <v>1110.7553</v>
      </c>
      <c r="D17" s="1" t="n">
        <v>238.5247</v>
      </c>
      <c r="E17" s="1" t="n">
        <v>425</v>
      </c>
      <c r="F17" s="10" t="n">
        <v>10.6224357687108</v>
      </c>
    </row>
    <row r="18" customFormat="false" ht="14.65" hidden="false" customHeight="false" outlineLevel="0" collapsed="false">
      <c r="A18" s="1" t="s">
        <v>130</v>
      </c>
      <c r="B18" s="1" t="n">
        <v>98</v>
      </c>
      <c r="C18" s="1" t="n">
        <v>1019.6667</v>
      </c>
      <c r="D18" s="1" t="n">
        <v>92.5005</v>
      </c>
      <c r="E18" s="1" t="n">
        <v>3</v>
      </c>
      <c r="F18" s="10" t="n">
        <v>0.663564270118966</v>
      </c>
    </row>
    <row r="20" customFormat="false" ht="14.65" hidden="false" customHeight="false" outlineLevel="0" collapsed="false">
      <c r="B20" s="1" t="s">
        <v>14</v>
      </c>
      <c r="C20" s="1" t="s">
        <v>15</v>
      </c>
      <c r="D20" s="1" t="s">
        <v>16</v>
      </c>
      <c r="E20" s="1" t="n">
        <v>8159</v>
      </c>
    </row>
    <row r="21" customFormat="false" ht="14.65" hidden="false" customHeight="false" outlineLevel="0" collapsed="false">
      <c r="A21" s="1" t="s">
        <v>17</v>
      </c>
    </row>
    <row r="22" customFormat="false" ht="14.65" hidden="false" customHeight="false" outlineLevel="0" collapsed="false">
      <c r="A22" s="1" t="s">
        <v>18</v>
      </c>
      <c r="B22" s="1" t="n">
        <v>92</v>
      </c>
      <c r="C22" s="1" t="s">
        <v>19</v>
      </c>
      <c r="D22" s="2" t="n">
        <v>33957</v>
      </c>
    </row>
    <row r="24" customFormat="false" ht="14.65" hidden="false" customHeight="false" outlineLevel="0" collapsed="false">
      <c r="A24" s="1" t="s">
        <v>0</v>
      </c>
      <c r="B24" s="1" t="s">
        <v>1</v>
      </c>
      <c r="C24" s="1" t="s">
        <v>20</v>
      </c>
    </row>
    <row r="25" customFormat="false" ht="14.65" hidden="false" customHeight="false" outlineLevel="0" collapsed="false">
      <c r="A25" s="1" t="s">
        <v>3</v>
      </c>
      <c r="B25" s="1" t="s">
        <v>4</v>
      </c>
      <c r="C25" s="1" t="s">
        <v>1</v>
      </c>
      <c r="D25" s="1" t="s">
        <v>130</v>
      </c>
    </row>
    <row r="27" customFormat="false" ht="14.65" hidden="false" customHeight="false" outlineLevel="0" collapsed="false">
      <c r="A27" s="1" t="s">
        <v>6</v>
      </c>
      <c r="B27" s="1" t="s">
        <v>7</v>
      </c>
      <c r="C27" s="1" t="s">
        <v>48</v>
      </c>
      <c r="D27" s="1" t="s">
        <v>8</v>
      </c>
      <c r="E27" s="1" t="s">
        <v>49</v>
      </c>
      <c r="F27" s="1" t="s">
        <v>50</v>
      </c>
      <c r="G27" s="1" t="s">
        <v>15</v>
      </c>
    </row>
    <row r="29" customFormat="false" ht="14.65" hidden="false" customHeight="false" outlineLevel="0" collapsed="false">
      <c r="A29" s="1" t="s">
        <v>12</v>
      </c>
      <c r="B29" s="1" t="s">
        <v>13</v>
      </c>
      <c r="C29" s="1" t="n">
        <v>259.7991</v>
      </c>
      <c r="D29" s="1" t="n">
        <v>271.2033</v>
      </c>
      <c r="E29" s="1" t="n">
        <v>8159</v>
      </c>
    </row>
    <row r="31" customFormat="false" ht="14.65" hidden="false" customHeight="false" outlineLevel="0" collapsed="false">
      <c r="A31" s="1" t="s">
        <v>130</v>
      </c>
      <c r="B31" s="1" t="n">
        <v>1</v>
      </c>
      <c r="C31" s="1" t="n">
        <v>272.5495</v>
      </c>
      <c r="D31" s="1" t="n">
        <v>266.9376</v>
      </c>
      <c r="E31" s="1" t="n">
        <v>657</v>
      </c>
      <c r="F31" s="10" t="n">
        <v>1.17641000878631</v>
      </c>
    </row>
    <row r="32" customFormat="false" ht="14.65" hidden="false" customHeight="false" outlineLevel="0" collapsed="false">
      <c r="A32" s="1" t="s">
        <v>130</v>
      </c>
      <c r="B32" s="1" t="n">
        <v>2</v>
      </c>
      <c r="C32" s="1" t="n">
        <v>280.964</v>
      </c>
      <c r="D32" s="1" t="n">
        <v>274.1318</v>
      </c>
      <c r="E32" s="1" t="n">
        <v>2860</v>
      </c>
      <c r="F32" s="10" t="n">
        <v>3.56277392592287</v>
      </c>
    </row>
    <row r="33" customFormat="false" ht="14.65" hidden="false" customHeight="false" outlineLevel="0" collapsed="false">
      <c r="A33" s="1" t="s">
        <v>130</v>
      </c>
      <c r="B33" s="1" t="n">
        <v>3</v>
      </c>
      <c r="C33" s="1" t="n">
        <v>176.7738</v>
      </c>
      <c r="D33" s="1" t="n">
        <v>245.8831</v>
      </c>
      <c r="E33" s="1" t="n">
        <v>84</v>
      </c>
      <c r="F33" s="10" t="n">
        <v>-3.07552000626665</v>
      </c>
    </row>
    <row r="34" customFormat="false" ht="14.65" hidden="false" customHeight="false" outlineLevel="0" collapsed="false">
      <c r="A34" s="1" t="s">
        <v>130</v>
      </c>
      <c r="B34" s="1" t="n">
        <v>4</v>
      </c>
      <c r="C34" s="1" t="n">
        <v>253.1454</v>
      </c>
      <c r="D34" s="1" t="n">
        <v>274.4867</v>
      </c>
      <c r="E34" s="1" t="n">
        <v>1726</v>
      </c>
      <c r="F34" s="10" t="n">
        <v>-0.916845120817053</v>
      </c>
    </row>
    <row r="35" customFormat="false" ht="14.65" hidden="false" customHeight="false" outlineLevel="0" collapsed="false">
      <c r="A35" s="1" t="s">
        <v>130</v>
      </c>
      <c r="B35" s="1" t="n">
        <v>5</v>
      </c>
      <c r="C35" s="1" t="n">
        <v>252.9041</v>
      </c>
      <c r="D35" s="1" t="n">
        <v>258.8503</v>
      </c>
      <c r="E35" s="1" t="n">
        <v>146</v>
      </c>
      <c r="F35" s="10" t="n">
        <v>-0.318741012570355</v>
      </c>
    </row>
    <row r="36" customFormat="false" ht="14.65" hidden="false" customHeight="false" outlineLevel="0" collapsed="false">
      <c r="A36" s="1" t="s">
        <v>130</v>
      </c>
      <c r="B36" s="1" t="n">
        <v>6</v>
      </c>
      <c r="C36" s="1" t="n">
        <v>264.7177</v>
      </c>
      <c r="D36" s="1" t="n">
        <v>270.1157</v>
      </c>
      <c r="E36" s="1" t="n">
        <v>1449</v>
      </c>
      <c r="F36" s="10" t="n">
        <v>0.638357186853145</v>
      </c>
    </row>
    <row r="37" customFormat="false" ht="14.65" hidden="false" customHeight="false" outlineLevel="0" collapsed="false">
      <c r="A37" s="1" t="s">
        <v>130</v>
      </c>
      <c r="B37" s="1" t="n">
        <v>7</v>
      </c>
      <c r="C37" s="1" t="n">
        <v>220.2034</v>
      </c>
      <c r="D37" s="1" t="n">
        <v>248.6571</v>
      </c>
      <c r="E37" s="1" t="n">
        <v>59</v>
      </c>
      <c r="F37" s="10" t="n">
        <v>-1.21790450719524</v>
      </c>
    </row>
    <row r="38" customFormat="false" ht="14.65" hidden="false" customHeight="false" outlineLevel="0" collapsed="false">
      <c r="A38" s="1" t="s">
        <v>130</v>
      </c>
      <c r="B38" s="1" t="n">
        <v>8</v>
      </c>
      <c r="C38" s="1" t="n">
        <v>266.646</v>
      </c>
      <c r="D38" s="1" t="n">
        <v>267.2599</v>
      </c>
      <c r="E38" s="1" t="n">
        <v>726</v>
      </c>
      <c r="F38" s="10" t="n">
        <v>0.660680395222035</v>
      </c>
    </row>
    <row r="39" customFormat="false" ht="14.65" hidden="false" customHeight="false" outlineLevel="0" collapsed="false">
      <c r="A39" s="1" t="s">
        <v>130</v>
      </c>
      <c r="B39" s="1" t="n">
        <v>9</v>
      </c>
      <c r="C39" s="1" t="n">
        <v>0</v>
      </c>
      <c r="D39" s="1" t="n">
        <v>0</v>
      </c>
      <c r="E39" s="1" t="n">
        <v>24</v>
      </c>
      <c r="F39" s="10" t="n">
        <v>-86.5288912972798</v>
      </c>
    </row>
    <row r="40" customFormat="false" ht="14.65" hidden="false" customHeight="false" outlineLevel="0" collapsed="false">
      <c r="A40" s="1" t="s">
        <v>130</v>
      </c>
      <c r="B40" s="1" t="n">
        <v>10</v>
      </c>
      <c r="C40" s="1" t="n">
        <v>136.9976</v>
      </c>
      <c r="D40" s="1" t="n">
        <v>229.2001</v>
      </c>
      <c r="E40" s="1" t="n">
        <v>425</v>
      </c>
      <c r="F40" s="10" t="n">
        <v>-10.6634425050854</v>
      </c>
    </row>
    <row r="41" customFormat="false" ht="14.65" hidden="false" customHeight="false" outlineLevel="0" collapsed="false">
      <c r="A41" s="1" t="s">
        <v>130</v>
      </c>
      <c r="B41" s="1" t="n">
        <v>98</v>
      </c>
      <c r="C41" s="1" t="n">
        <v>0</v>
      </c>
      <c r="D41" s="1" t="n">
        <v>0</v>
      </c>
      <c r="E41" s="1" t="n">
        <v>3</v>
      </c>
      <c r="F41" s="10" t="n">
        <v>-86.5288912972798</v>
      </c>
    </row>
    <row r="43" customFormat="false" ht="14.65" hidden="false" customHeight="false" outlineLevel="0" collapsed="false">
      <c r="B43" s="1" t="s">
        <v>14</v>
      </c>
      <c r="C43" s="1" t="s">
        <v>15</v>
      </c>
      <c r="D43" s="1" t="s">
        <v>16</v>
      </c>
      <c r="E43" s="1" t="n">
        <v>8159</v>
      </c>
    </row>
    <row r="44" customFormat="false" ht="14.65" hidden="false" customHeight="false" outlineLevel="0" collapsed="false">
      <c r="A44" s="1" t="s">
        <v>17</v>
      </c>
    </row>
    <row r="45" customFormat="false" ht="14.65" hidden="false" customHeight="false" outlineLevel="0" collapsed="false">
      <c r="A45" s="1" t="s">
        <v>18</v>
      </c>
      <c r="B45" s="1" t="n">
        <v>93</v>
      </c>
      <c r="C45" s="1" t="s">
        <v>19</v>
      </c>
      <c r="D45" s="2" t="n">
        <v>33957</v>
      </c>
    </row>
    <row r="47" customFormat="false" ht="14.65" hidden="false" customHeight="false" outlineLevel="0" collapsed="false">
      <c r="A47" s="1" t="s">
        <v>0</v>
      </c>
      <c r="B47" s="1" t="s">
        <v>1</v>
      </c>
      <c r="C47" s="1" t="s">
        <v>21</v>
      </c>
    </row>
    <row r="48" customFormat="false" ht="14.65" hidden="false" customHeight="false" outlineLevel="0" collapsed="false">
      <c r="A48" s="1" t="s">
        <v>3</v>
      </c>
      <c r="B48" s="1" t="s">
        <v>4</v>
      </c>
      <c r="C48" s="1" t="s">
        <v>1</v>
      </c>
      <c r="D48" s="1" t="s">
        <v>130</v>
      </c>
    </row>
    <row r="50" customFormat="false" ht="14.65" hidden="false" customHeight="false" outlineLevel="0" collapsed="false">
      <c r="A50" s="1" t="s">
        <v>6</v>
      </c>
      <c r="B50" s="1" t="s">
        <v>7</v>
      </c>
      <c r="C50" s="1" t="s">
        <v>48</v>
      </c>
      <c r="D50" s="1" t="s">
        <v>8</v>
      </c>
      <c r="E50" s="1" t="s">
        <v>49</v>
      </c>
      <c r="F50" s="1" t="s">
        <v>50</v>
      </c>
      <c r="G50" s="1" t="s">
        <v>15</v>
      </c>
    </row>
    <row r="52" customFormat="false" ht="14.65" hidden="false" customHeight="false" outlineLevel="0" collapsed="false">
      <c r="A52" s="1" t="s">
        <v>12</v>
      </c>
      <c r="B52" s="1" t="s">
        <v>13</v>
      </c>
      <c r="C52" s="1" t="n">
        <v>21.291</v>
      </c>
      <c r="D52" s="1" t="n">
        <v>56.2797</v>
      </c>
      <c r="E52" s="1" t="n">
        <v>8159</v>
      </c>
    </row>
    <row r="54" customFormat="false" ht="14.65" hidden="false" customHeight="false" outlineLevel="0" collapsed="false">
      <c r="A54" s="1" t="s">
        <v>130</v>
      </c>
      <c r="B54" s="1" t="n">
        <v>1</v>
      </c>
      <c r="C54" s="1" t="n">
        <v>22.7062</v>
      </c>
      <c r="D54" s="1" t="n">
        <v>58.9361</v>
      </c>
      <c r="E54" s="1" t="n">
        <v>657</v>
      </c>
      <c r="F54" s="10" t="n">
        <v>0.594062850466516</v>
      </c>
    </row>
    <row r="55" customFormat="false" ht="14.65" hidden="false" customHeight="false" outlineLevel="0" collapsed="false">
      <c r="A55" s="1" t="s">
        <v>130</v>
      </c>
      <c r="B55" s="1" t="n">
        <v>2</v>
      </c>
      <c r="C55" s="1" t="n">
        <v>20.1115</v>
      </c>
      <c r="D55" s="1" t="n">
        <v>54.4652</v>
      </c>
      <c r="E55" s="1" t="n">
        <v>2860</v>
      </c>
      <c r="F55" s="10" t="n">
        <v>-0.987926289789418</v>
      </c>
    </row>
    <row r="56" customFormat="false" ht="14.65" hidden="false" customHeight="false" outlineLevel="0" collapsed="false">
      <c r="A56" s="1" t="s">
        <v>130</v>
      </c>
      <c r="B56" s="1" t="n">
        <v>3</v>
      </c>
      <c r="C56" s="1" t="n">
        <v>24.869</v>
      </c>
      <c r="D56" s="1" t="n">
        <v>45.1818</v>
      </c>
      <c r="E56" s="1" t="n">
        <v>84</v>
      </c>
      <c r="F56" s="10" t="n">
        <v>0.720070655629168</v>
      </c>
    </row>
    <row r="57" customFormat="false" ht="14.65" hidden="false" customHeight="false" outlineLevel="0" collapsed="false">
      <c r="A57" s="1" t="s">
        <v>130</v>
      </c>
      <c r="B57" s="1" t="n">
        <v>4</v>
      </c>
      <c r="C57" s="1" t="n">
        <v>21.7769</v>
      </c>
      <c r="D57" s="1" t="n">
        <v>58.9701</v>
      </c>
      <c r="E57" s="1" t="n">
        <v>1726</v>
      </c>
      <c r="F57" s="10" t="n">
        <v>0.313453334027554</v>
      </c>
    </row>
    <row r="58" customFormat="false" ht="14.65" hidden="false" customHeight="false" outlineLevel="0" collapsed="false">
      <c r="A58" s="1" t="s">
        <v>130</v>
      </c>
      <c r="B58" s="1" t="n">
        <v>5</v>
      </c>
      <c r="C58" s="1" t="n">
        <v>19.774</v>
      </c>
      <c r="D58" s="1" t="n">
        <v>39.5132</v>
      </c>
      <c r="E58" s="1" t="n">
        <v>146</v>
      </c>
      <c r="F58" s="10" t="n">
        <v>-0.455697408476858</v>
      </c>
    </row>
    <row r="59" customFormat="false" ht="14.65" hidden="false" customHeight="false" outlineLevel="0" collapsed="false">
      <c r="A59" s="1" t="s">
        <v>130</v>
      </c>
      <c r="B59" s="1" t="n">
        <v>6</v>
      </c>
      <c r="C59" s="1" t="n">
        <v>20.6549</v>
      </c>
      <c r="D59" s="1" t="n">
        <v>50.2127</v>
      </c>
      <c r="E59" s="1" t="n">
        <v>1449</v>
      </c>
      <c r="F59" s="10" t="n">
        <v>-0.436027896202425</v>
      </c>
    </row>
    <row r="60" customFormat="false" ht="14.65" hidden="false" customHeight="false" outlineLevel="0" collapsed="false">
      <c r="A60" s="1" t="s">
        <v>130</v>
      </c>
      <c r="B60" s="1" t="n">
        <v>7</v>
      </c>
      <c r="C60" s="1" t="n">
        <v>31.1356</v>
      </c>
      <c r="D60" s="1" t="n">
        <v>64.0542</v>
      </c>
      <c r="E60" s="1" t="n">
        <v>59</v>
      </c>
      <c r="F60" s="10" t="n">
        <v>1.17724710351119</v>
      </c>
    </row>
    <row r="61" customFormat="false" ht="14.65" hidden="false" customHeight="false" outlineLevel="0" collapsed="false">
      <c r="A61" s="1" t="s">
        <v>130</v>
      </c>
      <c r="B61" s="1" t="n">
        <v>8</v>
      </c>
      <c r="C61" s="1" t="n">
        <v>21.865</v>
      </c>
      <c r="D61" s="1" t="n">
        <v>72.1465</v>
      </c>
      <c r="E61" s="1" t="n">
        <v>726</v>
      </c>
      <c r="F61" s="10" t="n">
        <v>0.208792257770032</v>
      </c>
    </row>
    <row r="62" customFormat="false" ht="14.65" hidden="false" customHeight="false" outlineLevel="0" collapsed="false">
      <c r="A62" s="1" t="s">
        <v>130</v>
      </c>
      <c r="B62" s="1" t="n">
        <v>9</v>
      </c>
      <c r="C62" s="1" t="n">
        <v>28.3333</v>
      </c>
      <c r="D62" s="1" t="n">
        <v>38.0693</v>
      </c>
      <c r="E62" s="1" t="n">
        <v>24</v>
      </c>
      <c r="F62" s="10" t="n">
        <v>0.903345175302841</v>
      </c>
    </row>
    <row r="63" customFormat="false" ht="14.65" hidden="false" customHeight="false" outlineLevel="0" collapsed="false">
      <c r="A63" s="1" t="s">
        <v>130</v>
      </c>
      <c r="B63" s="1" t="n">
        <v>10</v>
      </c>
      <c r="C63" s="1" t="n">
        <v>24.1553</v>
      </c>
      <c r="D63" s="1" t="n">
        <v>47.5648</v>
      </c>
      <c r="E63" s="1" t="n">
        <v>425</v>
      </c>
      <c r="F63" s="10" t="n">
        <v>1.19851189046077</v>
      </c>
    </row>
    <row r="64" customFormat="false" ht="14.65" hidden="false" customHeight="false" outlineLevel="0" collapsed="false">
      <c r="A64" s="1" t="s">
        <v>130</v>
      </c>
      <c r="B64" s="1" t="n">
        <v>98</v>
      </c>
      <c r="C64" s="1" t="n">
        <v>42.3333</v>
      </c>
      <c r="D64" s="1" t="n">
        <v>73.3235</v>
      </c>
      <c r="E64" s="1" t="n">
        <v>3</v>
      </c>
      <c r="F64" s="10" t="n">
        <v>0.497008269112682</v>
      </c>
    </row>
    <row r="66" customFormat="false" ht="14.65" hidden="false" customHeight="false" outlineLevel="0" collapsed="false">
      <c r="B66" s="1" t="s">
        <v>14</v>
      </c>
      <c r="C66" s="1" t="s">
        <v>15</v>
      </c>
      <c r="D66" s="1" t="s">
        <v>16</v>
      </c>
      <c r="E66" s="1" t="n">
        <v>8159</v>
      </c>
    </row>
    <row r="67" customFormat="false" ht="14.65" hidden="false" customHeight="false" outlineLevel="0" collapsed="false">
      <c r="A67" s="1" t="s">
        <v>17</v>
      </c>
    </row>
    <row r="68" customFormat="false" ht="14.65" hidden="false" customHeight="false" outlineLevel="0" collapsed="false">
      <c r="A68" s="1" t="s">
        <v>18</v>
      </c>
      <c r="B68" s="1" t="n">
        <v>94</v>
      </c>
      <c r="C68" s="1" t="s">
        <v>19</v>
      </c>
      <c r="D68" s="2" t="n">
        <v>33957</v>
      </c>
    </row>
    <row r="70" customFormat="false" ht="14.65" hidden="false" customHeight="false" outlineLevel="0" collapsed="false">
      <c r="A70" s="1" t="s">
        <v>0</v>
      </c>
      <c r="B70" s="1" t="s">
        <v>1</v>
      </c>
      <c r="C70" s="1" t="s">
        <v>22</v>
      </c>
    </row>
    <row r="71" customFormat="false" ht="14.65" hidden="false" customHeight="false" outlineLevel="0" collapsed="false">
      <c r="A71" s="1" t="s">
        <v>3</v>
      </c>
      <c r="B71" s="1" t="s">
        <v>4</v>
      </c>
      <c r="C71" s="1" t="s">
        <v>1</v>
      </c>
      <c r="D71" s="1" t="s">
        <v>130</v>
      </c>
    </row>
    <row r="73" customFormat="false" ht="14.65" hidden="false" customHeight="false" outlineLevel="0" collapsed="false">
      <c r="A73" s="1" t="s">
        <v>6</v>
      </c>
      <c r="B73" s="1" t="s">
        <v>7</v>
      </c>
      <c r="C73" s="1" t="s">
        <v>48</v>
      </c>
      <c r="D73" s="1" t="s">
        <v>8</v>
      </c>
      <c r="E73" s="1" t="s">
        <v>49</v>
      </c>
      <c r="F73" s="1" t="s">
        <v>50</v>
      </c>
      <c r="G73" s="1" t="s">
        <v>15</v>
      </c>
    </row>
    <row r="75" customFormat="false" ht="14.65" hidden="false" customHeight="false" outlineLevel="0" collapsed="false">
      <c r="A75" s="1" t="s">
        <v>12</v>
      </c>
      <c r="B75" s="1" t="s">
        <v>13</v>
      </c>
      <c r="C75" s="1" t="n">
        <v>109.905</v>
      </c>
      <c r="D75" s="1" t="n">
        <v>158.4693</v>
      </c>
      <c r="E75" s="1" t="n">
        <v>8159</v>
      </c>
    </row>
    <row r="77" customFormat="false" ht="14.65" hidden="false" customHeight="false" outlineLevel="0" collapsed="false">
      <c r="A77" s="1" t="s">
        <v>130</v>
      </c>
      <c r="B77" s="1" t="n">
        <v>1</v>
      </c>
      <c r="C77" s="1" t="n">
        <v>124.239</v>
      </c>
      <c r="D77" s="1" t="n">
        <v>167.0959</v>
      </c>
      <c r="E77" s="1" t="n">
        <v>657</v>
      </c>
      <c r="F77" s="10" t="n">
        <v>2.12324872897197</v>
      </c>
    </row>
    <row r="78" customFormat="false" ht="14.65" hidden="false" customHeight="false" outlineLevel="0" collapsed="false">
      <c r="A78" s="1" t="s">
        <v>130</v>
      </c>
      <c r="B78" s="1" t="n">
        <v>2</v>
      </c>
      <c r="C78" s="1" t="n">
        <v>111.5171</v>
      </c>
      <c r="D78" s="1" t="n">
        <v>162.0791</v>
      </c>
      <c r="E78" s="1" t="n">
        <v>2860</v>
      </c>
      <c r="F78" s="10" t="n">
        <v>0.46035431669741</v>
      </c>
    </row>
    <row r="79" customFormat="false" ht="14.65" hidden="false" customHeight="false" outlineLevel="0" collapsed="false">
      <c r="A79" s="1" t="s">
        <v>130</v>
      </c>
      <c r="B79" s="1" t="n">
        <v>3</v>
      </c>
      <c r="C79" s="1" t="n">
        <v>132.25</v>
      </c>
      <c r="D79" s="1" t="n">
        <v>159.1083</v>
      </c>
      <c r="E79" s="1" t="n">
        <v>84</v>
      </c>
      <c r="F79" s="10" t="n">
        <v>1.28062130369165</v>
      </c>
    </row>
    <row r="80" customFormat="false" ht="14.65" hidden="false" customHeight="false" outlineLevel="0" collapsed="false">
      <c r="A80" s="1" t="s">
        <v>130</v>
      </c>
      <c r="B80" s="1" t="n">
        <v>4</v>
      </c>
      <c r="C80" s="1" t="n">
        <v>97.748</v>
      </c>
      <c r="D80" s="1" t="n">
        <v>142.2697</v>
      </c>
      <c r="E80" s="1" t="n">
        <v>1726</v>
      </c>
      <c r="F80" s="10" t="n">
        <v>-3.1595478775537</v>
      </c>
    </row>
    <row r="81" customFormat="false" ht="14.65" hidden="false" customHeight="false" outlineLevel="0" collapsed="false">
      <c r="A81" s="1" t="s">
        <v>130</v>
      </c>
      <c r="B81" s="1" t="n">
        <v>5</v>
      </c>
      <c r="C81" s="1" t="n">
        <v>121.4384</v>
      </c>
      <c r="D81" s="1" t="n">
        <v>154.2717</v>
      </c>
      <c r="E81" s="1" t="n">
        <v>146</v>
      </c>
      <c r="F81" s="10" t="n">
        <v>0.8949230721371</v>
      </c>
    </row>
    <row r="82" customFormat="false" ht="14.65" hidden="false" customHeight="false" outlineLevel="0" collapsed="false">
      <c r="A82" s="1" t="s">
        <v>130</v>
      </c>
      <c r="B82" s="1" t="n">
        <v>6</v>
      </c>
      <c r="C82" s="1" t="n">
        <v>107.7516</v>
      </c>
      <c r="D82" s="1" t="n">
        <v>163.5349</v>
      </c>
      <c r="E82" s="1" t="n">
        <v>1449</v>
      </c>
      <c r="F82" s="10" t="n">
        <v>-0.464041739972891</v>
      </c>
    </row>
    <row r="83" customFormat="false" ht="14.65" hidden="false" customHeight="false" outlineLevel="0" collapsed="false">
      <c r="A83" s="1" t="s">
        <v>130</v>
      </c>
      <c r="B83" s="1" t="n">
        <v>7</v>
      </c>
      <c r="C83" s="1" t="n">
        <v>151.7627</v>
      </c>
      <c r="D83" s="1" t="n">
        <v>180.1788</v>
      </c>
      <c r="E83" s="1" t="n">
        <v>59</v>
      </c>
      <c r="F83" s="10" t="n">
        <v>1.77945253461959</v>
      </c>
    </row>
    <row r="84" customFormat="false" ht="14.65" hidden="false" customHeight="false" outlineLevel="0" collapsed="false">
      <c r="A84" s="1" t="s">
        <v>130</v>
      </c>
      <c r="B84" s="1" t="n">
        <v>8</v>
      </c>
      <c r="C84" s="1" t="n">
        <v>112.3278</v>
      </c>
      <c r="D84" s="1" t="n">
        <v>160.3207</v>
      </c>
      <c r="E84" s="1" t="n">
        <v>726</v>
      </c>
      <c r="F84" s="10" t="n">
        <v>0.390565469487837</v>
      </c>
    </row>
    <row r="85" customFormat="false" ht="14.65" hidden="false" customHeight="false" outlineLevel="0" collapsed="false">
      <c r="A85" s="1" t="s">
        <v>130</v>
      </c>
      <c r="B85" s="1" t="n">
        <v>9</v>
      </c>
      <c r="C85" s="1" t="n">
        <v>160.9167</v>
      </c>
      <c r="D85" s="1" t="n">
        <v>179.6518</v>
      </c>
      <c r="E85" s="1" t="n">
        <v>24</v>
      </c>
      <c r="F85" s="10" t="n">
        <v>1.38946436624341</v>
      </c>
    </row>
    <row r="86" customFormat="false" ht="14.65" hidden="false" customHeight="false" outlineLevel="0" collapsed="false">
      <c r="A86" s="1" t="s">
        <v>130</v>
      </c>
      <c r="B86" s="1" t="n">
        <v>10</v>
      </c>
      <c r="C86" s="1" t="n">
        <v>111.2824</v>
      </c>
      <c r="D86" s="1" t="n">
        <v>155.1736</v>
      </c>
      <c r="E86" s="1" t="n">
        <v>425</v>
      </c>
      <c r="F86" s="10" t="n">
        <v>0.178217061502296</v>
      </c>
    </row>
    <row r="87" customFormat="false" ht="14.65" hidden="false" customHeight="false" outlineLevel="0" collapsed="false">
      <c r="A87" s="1" t="s">
        <v>130</v>
      </c>
      <c r="B87" s="1" t="n">
        <v>98</v>
      </c>
      <c r="C87" s="1" t="n">
        <v>268.6667</v>
      </c>
      <c r="D87" s="1" t="n">
        <v>191.6151</v>
      </c>
      <c r="E87" s="1" t="n">
        <v>3</v>
      </c>
      <c r="F87" s="10" t="n">
        <v>1.43490131979076</v>
      </c>
    </row>
    <row r="89" customFormat="false" ht="14.65" hidden="false" customHeight="false" outlineLevel="0" collapsed="false">
      <c r="B89" s="1" t="s">
        <v>14</v>
      </c>
      <c r="C89" s="1" t="s">
        <v>15</v>
      </c>
      <c r="D89" s="1" t="s">
        <v>16</v>
      </c>
      <c r="E89" s="1" t="n">
        <v>8159</v>
      </c>
    </row>
    <row r="90" customFormat="false" ht="14.65" hidden="false" customHeight="false" outlineLevel="0" collapsed="false">
      <c r="A90" s="1" t="s">
        <v>17</v>
      </c>
    </row>
    <row r="91" customFormat="false" ht="14.65" hidden="false" customHeight="false" outlineLevel="0" collapsed="false">
      <c r="A91" s="1" t="s">
        <v>18</v>
      </c>
      <c r="B91" s="1" t="n">
        <v>95</v>
      </c>
      <c r="C91" s="1" t="s">
        <v>19</v>
      </c>
      <c r="D91" s="2" t="n">
        <v>33957</v>
      </c>
    </row>
    <row r="93" customFormat="false" ht="14.65" hidden="false" customHeight="false" outlineLevel="0" collapsed="false">
      <c r="A93" s="1" t="s">
        <v>0</v>
      </c>
      <c r="B93" s="1" t="s">
        <v>1</v>
      </c>
      <c r="C93" s="1" t="s">
        <v>23</v>
      </c>
    </row>
    <row r="94" customFormat="false" ht="14.65" hidden="false" customHeight="false" outlineLevel="0" collapsed="false">
      <c r="A94" s="1" t="s">
        <v>3</v>
      </c>
      <c r="B94" s="1" t="s">
        <v>4</v>
      </c>
      <c r="C94" s="1" t="s">
        <v>1</v>
      </c>
      <c r="D94" s="1" t="s">
        <v>130</v>
      </c>
    </row>
    <row r="96" customFormat="false" ht="14.65" hidden="false" customHeight="false" outlineLevel="0" collapsed="false">
      <c r="A96" s="1" t="s">
        <v>6</v>
      </c>
      <c r="B96" s="1" t="s">
        <v>7</v>
      </c>
      <c r="C96" s="1" t="s">
        <v>48</v>
      </c>
      <c r="D96" s="1" t="s">
        <v>8</v>
      </c>
      <c r="E96" s="1" t="s">
        <v>49</v>
      </c>
      <c r="F96" s="1" t="s">
        <v>50</v>
      </c>
      <c r="G96" s="1" t="s">
        <v>15</v>
      </c>
    </row>
    <row r="98" customFormat="false" ht="14.65" hidden="false" customHeight="false" outlineLevel="0" collapsed="false">
      <c r="A98" s="1" t="s">
        <v>12</v>
      </c>
      <c r="B98" s="1" t="s">
        <v>13</v>
      </c>
      <c r="C98" s="1" t="n">
        <v>64.8264</v>
      </c>
      <c r="D98" s="1" t="n">
        <v>62.2463</v>
      </c>
      <c r="E98" s="1" t="n">
        <v>8159</v>
      </c>
    </row>
    <row r="100" customFormat="false" ht="14.65" hidden="false" customHeight="false" outlineLevel="0" collapsed="false">
      <c r="A100" s="1" t="s">
        <v>130</v>
      </c>
      <c r="B100" s="1" t="n">
        <v>1</v>
      </c>
      <c r="C100" s="1" t="n">
        <v>68.7595</v>
      </c>
      <c r="D100" s="1" t="n">
        <v>65.7737</v>
      </c>
      <c r="E100" s="1" t="n">
        <v>657</v>
      </c>
      <c r="F100" s="10" t="n">
        <v>1.4802799643602</v>
      </c>
    </row>
    <row r="101" customFormat="false" ht="14.65" hidden="false" customHeight="false" outlineLevel="0" collapsed="false">
      <c r="A101" s="1" t="s">
        <v>130</v>
      </c>
      <c r="B101" s="1" t="n">
        <v>2</v>
      </c>
      <c r="C101" s="1" t="n">
        <v>65.9189</v>
      </c>
      <c r="D101" s="1" t="n">
        <v>60.4833</v>
      </c>
      <c r="E101" s="1" t="n">
        <v>2860</v>
      </c>
      <c r="F101" s="10" t="n">
        <v>0.824912953582766</v>
      </c>
    </row>
    <row r="102" customFormat="false" ht="14.65" hidden="false" customHeight="false" outlineLevel="0" collapsed="false">
      <c r="A102" s="1" t="s">
        <v>130</v>
      </c>
      <c r="B102" s="1" t="n">
        <v>3</v>
      </c>
      <c r="C102" s="1" t="n">
        <v>58.0238</v>
      </c>
      <c r="D102" s="1" t="n">
        <v>51.1461</v>
      </c>
      <c r="E102" s="1" t="n">
        <v>84</v>
      </c>
      <c r="F102" s="10" t="n">
        <v>-1.20980603451311</v>
      </c>
    </row>
    <row r="103" customFormat="false" ht="14.65" hidden="false" customHeight="false" outlineLevel="0" collapsed="false">
      <c r="A103" s="1" t="s">
        <v>130</v>
      </c>
      <c r="B103" s="1" t="n">
        <v>4</v>
      </c>
      <c r="C103" s="1" t="n">
        <v>62.6205</v>
      </c>
      <c r="D103" s="1" t="n">
        <v>58.5165</v>
      </c>
      <c r="E103" s="1" t="n">
        <v>1726</v>
      </c>
      <c r="F103" s="10" t="n">
        <v>-1.40678246497652</v>
      </c>
    </row>
    <row r="104" customFormat="false" ht="14.65" hidden="false" customHeight="false" outlineLevel="0" collapsed="false">
      <c r="A104" s="1" t="s">
        <v>130</v>
      </c>
      <c r="B104" s="1" t="n">
        <v>5</v>
      </c>
      <c r="C104" s="1" t="n">
        <v>63.2603</v>
      </c>
      <c r="D104" s="1" t="n">
        <v>57.0549</v>
      </c>
      <c r="E104" s="1" t="n">
        <v>146</v>
      </c>
      <c r="F104" s="10" t="n">
        <v>-0.328190902025059</v>
      </c>
    </row>
    <row r="105" customFormat="false" ht="14.65" hidden="false" customHeight="false" outlineLevel="0" collapsed="false">
      <c r="A105" s="1" t="s">
        <v>130</v>
      </c>
      <c r="B105" s="1" t="n">
        <v>6</v>
      </c>
      <c r="C105" s="1" t="n">
        <v>65.8627</v>
      </c>
      <c r="D105" s="1" t="n">
        <v>66.45</v>
      </c>
      <c r="E105" s="1" t="n">
        <v>1449</v>
      </c>
      <c r="F105" s="10" t="n">
        <v>0.55217475229867</v>
      </c>
    </row>
    <row r="106" customFormat="false" ht="14.65" hidden="false" customHeight="false" outlineLevel="0" collapsed="false">
      <c r="A106" s="1" t="s">
        <v>130</v>
      </c>
      <c r="B106" s="1" t="n">
        <v>7</v>
      </c>
      <c r="C106" s="1" t="n">
        <v>63.2542</v>
      </c>
      <c r="D106" s="1" t="n">
        <v>63.8386</v>
      </c>
      <c r="E106" s="1" t="n">
        <v>59</v>
      </c>
      <c r="F106" s="10" t="n">
        <v>-0.188522267736443</v>
      </c>
    </row>
    <row r="107" customFormat="false" ht="14.65" hidden="false" customHeight="false" outlineLevel="0" collapsed="false">
      <c r="A107" s="1" t="s">
        <v>130</v>
      </c>
      <c r="B107" s="1" t="n">
        <v>8</v>
      </c>
      <c r="C107" s="1" t="n">
        <v>65.6887</v>
      </c>
      <c r="D107" s="1" t="n">
        <v>68.5318</v>
      </c>
      <c r="E107" s="1" t="n">
        <v>726</v>
      </c>
      <c r="F107" s="10" t="n">
        <v>0.327229293383694</v>
      </c>
    </row>
    <row r="108" customFormat="false" ht="14.65" hidden="false" customHeight="false" outlineLevel="0" collapsed="false">
      <c r="A108" s="1" t="s">
        <v>130</v>
      </c>
      <c r="B108" s="1" t="n">
        <v>9</v>
      </c>
      <c r="C108" s="1" t="n">
        <v>70.5833</v>
      </c>
      <c r="D108" s="1" t="n">
        <v>68.7351</v>
      </c>
      <c r="E108" s="1" t="n">
        <v>24</v>
      </c>
      <c r="F108" s="10" t="n">
        <v>0.409819414558465</v>
      </c>
    </row>
    <row r="109" customFormat="false" ht="14.65" hidden="false" customHeight="false" outlineLevel="0" collapsed="false">
      <c r="A109" s="1" t="s">
        <v>130</v>
      </c>
      <c r="B109" s="1" t="n">
        <v>10</v>
      </c>
      <c r="C109" s="1" t="n">
        <v>56.8094</v>
      </c>
      <c r="D109" s="1" t="n">
        <v>59.4814</v>
      </c>
      <c r="E109" s="1" t="n">
        <v>425</v>
      </c>
      <c r="F109" s="10" t="n">
        <v>-2.7025793375023</v>
      </c>
    </row>
    <row r="110" customFormat="false" ht="14.65" hidden="false" customHeight="false" outlineLevel="0" collapsed="false">
      <c r="A110" s="1" t="s">
        <v>130</v>
      </c>
      <c r="B110" s="1" t="n">
        <v>98</v>
      </c>
      <c r="C110" s="1" t="n">
        <v>109.3333</v>
      </c>
      <c r="D110" s="1" t="n">
        <v>70.0095</v>
      </c>
      <c r="E110" s="1" t="n">
        <v>3</v>
      </c>
      <c r="F110" s="10" t="n">
        <v>1.10095074218535</v>
      </c>
    </row>
    <row r="112" customFormat="false" ht="14.65" hidden="false" customHeight="false" outlineLevel="0" collapsed="false">
      <c r="B112" s="1" t="s">
        <v>14</v>
      </c>
      <c r="C112" s="1" t="s">
        <v>15</v>
      </c>
      <c r="D112" s="1" t="s">
        <v>16</v>
      </c>
      <c r="E112" s="1" t="n">
        <v>8159</v>
      </c>
    </row>
    <row r="115" customFormat="false" ht="14.65" hidden="false" customHeight="false" outlineLevel="0" collapsed="false">
      <c r="B115" s="27" t="s">
        <v>131</v>
      </c>
      <c r="C115" s="27" t="s">
        <v>132</v>
      </c>
      <c r="D115" s="27" t="s">
        <v>75</v>
      </c>
      <c r="G115" s="27" t="s">
        <v>76</v>
      </c>
    </row>
    <row r="116" customFormat="false" ht="14.65" hidden="false" customHeight="false" outlineLevel="0" collapsed="false">
      <c r="B116" s="6" t="s">
        <v>135</v>
      </c>
      <c r="C116" s="6" t="s">
        <v>136</v>
      </c>
      <c r="D116" s="7" t="n">
        <v>951.7458</v>
      </c>
      <c r="G116" s="7" t="n">
        <v>272.5495</v>
      </c>
    </row>
    <row r="117" customFormat="false" ht="14.65" hidden="false" customHeight="false" outlineLevel="0" collapsed="false">
      <c r="B117" s="6" t="s">
        <v>137</v>
      </c>
      <c r="C117" s="6" t="s">
        <v>136</v>
      </c>
      <c r="D117" s="7" t="n">
        <v>961.4885</v>
      </c>
      <c r="G117" s="7" t="n">
        <v>280.964</v>
      </c>
    </row>
    <row r="118" customFormat="false" ht="14.65" hidden="false" customHeight="false" outlineLevel="0" collapsed="false">
      <c r="B118" s="6" t="s">
        <v>135</v>
      </c>
      <c r="C118" s="6" t="s">
        <v>138</v>
      </c>
      <c r="D118" s="7" t="n">
        <v>1048.0833</v>
      </c>
      <c r="G118" s="7" t="n">
        <v>176.7738</v>
      </c>
    </row>
    <row r="119" customFormat="false" ht="14.65" hidden="false" customHeight="false" outlineLevel="0" collapsed="false">
      <c r="B119" s="6" t="s">
        <v>137</v>
      </c>
      <c r="C119" s="6" t="s">
        <v>138</v>
      </c>
      <c r="D119" s="7" t="n">
        <v>1004.7092</v>
      </c>
      <c r="G119" s="7" t="n">
        <v>253.1454</v>
      </c>
    </row>
    <row r="120" customFormat="false" ht="14.65" hidden="false" customHeight="false" outlineLevel="0" collapsed="false">
      <c r="B120" s="6" t="s">
        <v>135</v>
      </c>
      <c r="C120" s="23" t="s">
        <v>139</v>
      </c>
      <c r="D120" s="7" t="n">
        <v>982.6233</v>
      </c>
      <c r="G120" s="7" t="n">
        <v>252.9041</v>
      </c>
    </row>
    <row r="121" customFormat="false" ht="14.65" hidden="false" customHeight="false" outlineLevel="0" collapsed="false">
      <c r="B121" s="6" t="s">
        <v>137</v>
      </c>
      <c r="C121" s="6" t="s">
        <v>139</v>
      </c>
      <c r="D121" s="7" t="n">
        <v>981.0131</v>
      </c>
      <c r="G121" s="7" t="n">
        <v>264.7177</v>
      </c>
    </row>
    <row r="122" customFormat="false" ht="14.65" hidden="false" customHeight="false" outlineLevel="0" collapsed="false">
      <c r="B122" s="6" t="s">
        <v>135</v>
      </c>
      <c r="C122" s="6" t="s">
        <v>140</v>
      </c>
      <c r="D122" s="7" t="n">
        <v>973.6441</v>
      </c>
      <c r="G122" s="7" t="n">
        <v>220.2034</v>
      </c>
    </row>
    <row r="123" customFormat="false" ht="14.65" hidden="false" customHeight="false" outlineLevel="0" collapsed="false">
      <c r="B123" s="6" t="s">
        <v>137</v>
      </c>
      <c r="C123" s="6" t="s">
        <v>140</v>
      </c>
      <c r="D123" s="7" t="n">
        <v>973.4725</v>
      </c>
      <c r="G123" s="7" t="n">
        <v>266.646</v>
      </c>
    </row>
    <row r="124" customFormat="false" ht="14.65" hidden="false" customHeight="false" outlineLevel="0" collapsed="false">
      <c r="B124" s="6" t="s">
        <v>135</v>
      </c>
      <c r="C124" s="6" t="s">
        <v>141</v>
      </c>
      <c r="D124" s="7" t="n">
        <v>1180.1667</v>
      </c>
      <c r="G124" s="7" t="n">
        <v>0</v>
      </c>
    </row>
    <row r="125" customFormat="false" ht="14.65" hidden="false" customHeight="false" outlineLevel="0" collapsed="false">
      <c r="B125" s="6" t="s">
        <v>137</v>
      </c>
      <c r="C125" s="6" t="s">
        <v>141</v>
      </c>
      <c r="D125" s="7" t="n">
        <v>1110.7553</v>
      </c>
      <c r="G125" s="7" t="n">
        <v>136.9976</v>
      </c>
    </row>
    <row r="126" customFormat="false" ht="14.65" hidden="false" customHeight="false" outlineLevel="0" collapsed="false">
      <c r="B126" s="8"/>
      <c r="C126" s="8" t="s">
        <v>142</v>
      </c>
      <c r="D126" s="9" t="n">
        <v>984.1785</v>
      </c>
      <c r="G126" s="9" t="n">
        <v>259.7991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 D16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65" hidden="false" customHeight="false" outlineLevel="0" collapsed="false">
      <c r="A2" s="1" t="s">
        <v>3</v>
      </c>
      <c r="B2" s="1" t="s">
        <v>4</v>
      </c>
      <c r="C2" s="1" t="s">
        <v>1</v>
      </c>
      <c r="D2" s="1" t="s">
        <v>143</v>
      </c>
    </row>
    <row r="4" customFormat="false" ht="14.65" hidden="false" customHeight="false" outlineLevel="0" collapsed="false">
      <c r="A4" s="1" t="s">
        <v>6</v>
      </c>
      <c r="B4" s="1" t="s">
        <v>7</v>
      </c>
      <c r="C4" s="1" t="s">
        <v>48</v>
      </c>
      <c r="D4" s="1" t="s">
        <v>8</v>
      </c>
      <c r="E4" s="1" t="s">
        <v>49</v>
      </c>
      <c r="F4" s="1" t="s">
        <v>50</v>
      </c>
      <c r="G4" s="1" t="s">
        <v>15</v>
      </c>
    </row>
    <row r="6" customFormat="false" ht="14.65" hidden="false" customHeight="false" outlineLevel="0" collapsed="false">
      <c r="A6" s="1" t="s">
        <v>12</v>
      </c>
      <c r="B6" s="1" t="s">
        <v>13</v>
      </c>
      <c r="C6" s="1" t="s">
        <v>84</v>
      </c>
      <c r="D6" s="1" t="n">
        <v>984.1785</v>
      </c>
      <c r="E6" s="1" t="n">
        <v>257.4312</v>
      </c>
      <c r="F6" s="1" t="n">
        <v>8159</v>
      </c>
    </row>
    <row r="8" customFormat="false" ht="14.65" hidden="false" customHeight="false" outlineLevel="0" collapsed="false">
      <c r="A8" s="1" t="s">
        <v>143</v>
      </c>
      <c r="B8" s="1" t="n">
        <v>1</v>
      </c>
      <c r="C8" s="1" t="n">
        <v>1004.1204</v>
      </c>
      <c r="D8" s="1" t="n">
        <v>260.3165</v>
      </c>
      <c r="E8" s="1" t="n">
        <v>5489</v>
      </c>
    </row>
    <row r="9" customFormat="false" ht="14.65" hidden="false" customHeight="false" outlineLevel="0" collapsed="false">
      <c r="A9" s="1" t="s">
        <v>143</v>
      </c>
      <c r="B9" s="1" t="n">
        <v>2</v>
      </c>
      <c r="C9" s="1" t="n">
        <v>934.0396</v>
      </c>
      <c r="D9" s="1" t="n">
        <v>252.0266</v>
      </c>
      <c r="E9" s="1" t="n">
        <v>2096</v>
      </c>
    </row>
    <row r="10" customFormat="false" ht="14.65" hidden="false" customHeight="false" outlineLevel="0" collapsed="false">
      <c r="A10" s="1" t="s">
        <v>143</v>
      </c>
      <c r="B10" s="1" t="n">
        <v>3</v>
      </c>
      <c r="C10" s="1" t="n">
        <v>967.0697</v>
      </c>
      <c r="D10" s="1" t="n">
        <v>224.8628</v>
      </c>
      <c r="E10" s="1" t="n">
        <v>459</v>
      </c>
    </row>
    <row r="11" customFormat="false" ht="14.65" hidden="false" customHeight="false" outlineLevel="0" collapsed="false">
      <c r="A11" s="1" t="s">
        <v>143</v>
      </c>
      <c r="B11" s="1" t="n">
        <v>4</v>
      </c>
      <c r="C11" s="1" t="n">
        <v>989.9535</v>
      </c>
      <c r="D11" s="1" t="n">
        <v>207.667</v>
      </c>
      <c r="E11" s="1" t="n">
        <v>86</v>
      </c>
    </row>
    <row r="12" customFormat="false" ht="14.65" hidden="false" customHeight="false" outlineLevel="0" collapsed="false">
      <c r="A12" s="1" t="s">
        <v>143</v>
      </c>
      <c r="B12" s="1" t="n">
        <v>5</v>
      </c>
      <c r="C12" s="1" t="n">
        <v>1033.2778</v>
      </c>
      <c r="D12" s="1" t="n">
        <v>210.3014</v>
      </c>
      <c r="E12" s="1" t="n">
        <v>18</v>
      </c>
    </row>
    <row r="13" customFormat="false" ht="14.65" hidden="false" customHeight="false" outlineLevel="0" collapsed="false">
      <c r="A13" s="1" t="s">
        <v>143</v>
      </c>
      <c r="B13" s="1" t="n">
        <v>6</v>
      </c>
      <c r="C13" s="1" t="n">
        <v>1172.75</v>
      </c>
      <c r="D13" s="1" t="n">
        <v>96.968</v>
      </c>
      <c r="E13" s="1" t="n">
        <v>8</v>
      </c>
    </row>
    <row r="14" customFormat="false" ht="14.65" hidden="false" customHeight="false" outlineLevel="0" collapsed="false">
      <c r="A14" s="1" t="s">
        <v>143</v>
      </c>
      <c r="B14" s="1" t="n">
        <v>7</v>
      </c>
      <c r="C14" s="1" t="n">
        <v>1182</v>
      </c>
      <c r="D14" s="1" t="n">
        <v>4.3589</v>
      </c>
      <c r="E14" s="1" t="n">
        <v>3</v>
      </c>
    </row>
    <row r="16" customFormat="false" ht="14.65" hidden="false" customHeight="false" outlineLevel="0" collapsed="false">
      <c r="B16" s="1" t="s">
        <v>14</v>
      </c>
      <c r="C16" s="1" t="s">
        <v>15</v>
      </c>
      <c r="D16" s="1" t="s">
        <v>16</v>
      </c>
      <c r="E16" s="1" t="n">
        <v>8159</v>
      </c>
    </row>
    <row r="17" customFormat="false" ht="14.65" hidden="false" customHeight="false" outlineLevel="0" collapsed="false">
      <c r="A17" s="1" t="s">
        <v>17</v>
      </c>
    </row>
    <row r="18" customFormat="false" ht="14.65" hidden="false" customHeight="false" outlineLevel="0" collapsed="false">
      <c r="A18" s="1" t="s">
        <v>18</v>
      </c>
      <c r="B18" s="1" t="n">
        <v>100</v>
      </c>
      <c r="C18" s="1" t="s">
        <v>19</v>
      </c>
      <c r="D18" s="2" t="n">
        <v>33957</v>
      </c>
    </row>
    <row r="20" customFormat="false" ht="14.65" hidden="false" customHeight="false" outlineLevel="0" collapsed="false">
      <c r="A20" s="1" t="s">
        <v>51</v>
      </c>
      <c r="B20" s="1" t="s">
        <v>52</v>
      </c>
      <c r="C20" s="1" t="s">
        <v>53</v>
      </c>
      <c r="D20" s="1" t="s">
        <v>54</v>
      </c>
      <c r="E20" s="1" t="s">
        <v>55</v>
      </c>
      <c r="F20" s="3" t="n">
        <v>0.464675925925926</v>
      </c>
    </row>
    <row r="21" customFormat="false" ht="14.65" hidden="false" customHeight="false" outlineLevel="0" collapsed="false">
      <c r="A21" s="1" t="s">
        <v>56</v>
      </c>
      <c r="B21" s="1" t="s">
        <v>57</v>
      </c>
      <c r="C21" s="1" t="s">
        <v>59</v>
      </c>
      <c r="D21" s="1" t="s">
        <v>63</v>
      </c>
      <c r="E21" s="1" t="s">
        <v>144</v>
      </c>
    </row>
    <row r="23" customFormat="false" ht="14.65" hidden="false" customHeight="false" outlineLevel="0" collapsed="false">
      <c r="A23" s="1" t="s">
        <v>65</v>
      </c>
      <c r="B23" s="1" t="s">
        <v>66</v>
      </c>
      <c r="C23" s="1" t="s">
        <v>67</v>
      </c>
      <c r="D23" s="1" t="s">
        <v>68</v>
      </c>
      <c r="E23" s="1" t="s">
        <v>69</v>
      </c>
      <c r="F23" s="1" t="n">
        <v>6858</v>
      </c>
      <c r="G23" s="1" t="s">
        <v>70</v>
      </c>
      <c r="H23" s="1" t="s">
        <v>71</v>
      </c>
      <c r="I23" s="1" t="n">
        <v>1</v>
      </c>
      <c r="J23" s="1" t="s">
        <v>72</v>
      </c>
      <c r="K23" s="1" t="s">
        <v>69</v>
      </c>
      <c r="L23" s="1" t="s">
        <v>73</v>
      </c>
    </row>
    <row r="26" customFormat="false" ht="14.65" hidden="false" customHeight="false" outlineLevel="0" collapsed="false">
      <c r="A26" s="1" t="s">
        <v>17</v>
      </c>
    </row>
    <row r="27" customFormat="false" ht="14.65" hidden="false" customHeight="false" outlineLevel="0" collapsed="false">
      <c r="A27" s="1" t="s">
        <v>18</v>
      </c>
      <c r="B27" s="1" t="n">
        <v>101</v>
      </c>
      <c r="C27" s="1" t="s">
        <v>19</v>
      </c>
      <c r="D27" s="2" t="n">
        <v>33957</v>
      </c>
    </row>
    <row r="29" customFormat="false" ht="14.65" hidden="false" customHeight="false" outlineLevel="0" collapsed="false">
      <c r="A29" s="1" t="s">
        <v>0</v>
      </c>
      <c r="B29" s="1" t="s">
        <v>1</v>
      </c>
      <c r="C29" s="1" t="s">
        <v>20</v>
      </c>
    </row>
    <row r="30" customFormat="false" ht="14.65" hidden="false" customHeight="false" outlineLevel="0" collapsed="false">
      <c r="A30" s="1" t="s">
        <v>3</v>
      </c>
      <c r="B30" s="1" t="s">
        <v>4</v>
      </c>
      <c r="C30" s="1" t="s">
        <v>1</v>
      </c>
      <c r="D30" s="1" t="s">
        <v>145</v>
      </c>
    </row>
    <row r="32" customFormat="false" ht="14.65" hidden="false" customHeight="false" outlineLevel="0" collapsed="false">
      <c r="A32" s="1" t="s">
        <v>6</v>
      </c>
      <c r="B32" s="1" t="s">
        <v>7</v>
      </c>
      <c r="C32" s="1" t="s">
        <v>48</v>
      </c>
      <c r="D32" s="1" t="s">
        <v>8</v>
      </c>
      <c r="E32" s="1" t="s">
        <v>49</v>
      </c>
      <c r="F32" s="1" t="s">
        <v>50</v>
      </c>
      <c r="G32" s="1" t="s">
        <v>15</v>
      </c>
    </row>
    <row r="34" customFormat="false" ht="14.65" hidden="false" customHeight="false" outlineLevel="0" collapsed="false">
      <c r="A34" s="1" t="s">
        <v>12</v>
      </c>
      <c r="B34" s="1" t="s">
        <v>13</v>
      </c>
      <c r="C34" s="1" t="s">
        <v>84</v>
      </c>
      <c r="D34" s="1" t="n">
        <v>259.7991</v>
      </c>
      <c r="E34" s="1" t="n">
        <v>271.2033</v>
      </c>
      <c r="F34" s="1" t="n">
        <v>8159</v>
      </c>
    </row>
    <row r="36" customFormat="false" ht="14.65" hidden="false" customHeight="false" outlineLevel="0" collapsed="false">
      <c r="A36" s="1" t="s">
        <v>145</v>
      </c>
      <c r="B36" s="1" t="n">
        <v>0</v>
      </c>
      <c r="C36" s="1" t="n">
        <v>0</v>
      </c>
      <c r="D36" s="1" t="n">
        <v>0</v>
      </c>
      <c r="E36" s="1" t="n">
        <v>3852</v>
      </c>
    </row>
    <row r="37" customFormat="false" ht="14.65" hidden="false" customHeight="false" outlineLevel="0" collapsed="false">
      <c r="A37" s="1" t="s">
        <v>145</v>
      </c>
      <c r="B37" s="1" t="n">
        <v>1</v>
      </c>
      <c r="C37" s="1" t="n">
        <v>490.7249</v>
      </c>
      <c r="D37" s="1" t="n">
        <v>156.8174</v>
      </c>
      <c r="E37" s="1" t="n">
        <v>3915</v>
      </c>
    </row>
    <row r="38" customFormat="false" ht="14.65" hidden="false" customHeight="false" outlineLevel="0" collapsed="false">
      <c r="A38" s="1" t="s">
        <v>145</v>
      </c>
      <c r="B38" s="1" t="n">
        <v>2</v>
      </c>
      <c r="C38" s="1" t="n">
        <v>508.5725</v>
      </c>
      <c r="D38" s="1" t="n">
        <v>175.2619</v>
      </c>
      <c r="E38" s="1" t="n">
        <v>269</v>
      </c>
    </row>
    <row r="39" customFormat="false" ht="14.65" hidden="false" customHeight="false" outlineLevel="0" collapsed="false">
      <c r="A39" s="1" t="s">
        <v>145</v>
      </c>
      <c r="B39" s="1" t="n">
        <v>3</v>
      </c>
      <c r="C39" s="1" t="n">
        <v>513.8462</v>
      </c>
      <c r="D39" s="1" t="n">
        <v>149.6934</v>
      </c>
      <c r="E39" s="1" t="n">
        <v>91</v>
      </c>
    </row>
    <row r="40" customFormat="false" ht="14.65" hidden="false" customHeight="false" outlineLevel="0" collapsed="false">
      <c r="A40" s="1" t="s">
        <v>145</v>
      </c>
      <c r="B40" s="1" t="n">
        <v>4</v>
      </c>
      <c r="C40" s="1" t="n">
        <v>465.4706</v>
      </c>
      <c r="D40" s="1" t="n">
        <v>156.0842</v>
      </c>
      <c r="E40" s="1" t="n">
        <v>17</v>
      </c>
    </row>
    <row r="41" customFormat="false" ht="14.65" hidden="false" customHeight="false" outlineLevel="0" collapsed="false">
      <c r="A41" s="1" t="s">
        <v>145</v>
      </c>
      <c r="B41" s="1" t="n">
        <v>5</v>
      </c>
      <c r="C41" s="1" t="n">
        <v>428.6667</v>
      </c>
      <c r="D41" s="1" t="n">
        <v>180.5891</v>
      </c>
      <c r="E41" s="1" t="n">
        <v>12</v>
      </c>
    </row>
    <row r="42" customFormat="false" ht="14.65" hidden="false" customHeight="false" outlineLevel="0" collapsed="false">
      <c r="A42" s="1" t="s">
        <v>145</v>
      </c>
      <c r="B42" s="1" t="n">
        <v>6</v>
      </c>
      <c r="C42" s="1" t="n">
        <v>654</v>
      </c>
      <c r="D42" s="1" t="n">
        <v>132.9361</v>
      </c>
      <c r="E42" s="1" t="n">
        <v>2</v>
      </c>
    </row>
    <row r="43" customFormat="false" ht="14.65" hidden="false" customHeight="false" outlineLevel="0" collapsed="false">
      <c r="A43" s="1" t="s">
        <v>145</v>
      </c>
      <c r="B43" s="1" t="n">
        <v>7</v>
      </c>
      <c r="C43" s="1" t="n">
        <v>582</v>
      </c>
      <c r="D43" s="1" t="n">
        <v>0</v>
      </c>
      <c r="E43" s="1" t="n">
        <v>1</v>
      </c>
    </row>
    <row r="45" customFormat="false" ht="14.65" hidden="false" customHeight="false" outlineLevel="0" collapsed="false">
      <c r="B45" s="1" t="s">
        <v>14</v>
      </c>
      <c r="C45" s="1" t="s">
        <v>15</v>
      </c>
      <c r="D45" s="1" t="s">
        <v>16</v>
      </c>
      <c r="E45" s="1" t="n">
        <v>8159</v>
      </c>
    </row>
    <row r="46" customFormat="false" ht="14.65" hidden="false" customHeight="false" outlineLevel="0" collapsed="false">
      <c r="A46" s="1" t="s">
        <v>17</v>
      </c>
    </row>
    <row r="47" customFormat="false" ht="14.65" hidden="false" customHeight="false" outlineLevel="0" collapsed="false">
      <c r="A47" s="1" t="s">
        <v>18</v>
      </c>
      <c r="B47" s="1" t="n">
        <v>102</v>
      </c>
      <c r="C47" s="1" t="s">
        <v>19</v>
      </c>
      <c r="D47" s="2" t="n">
        <v>33957</v>
      </c>
    </row>
    <row r="49" customFormat="false" ht="14.65" hidden="false" customHeight="false" outlineLevel="0" collapsed="false">
      <c r="A49" s="1" t="s">
        <v>51</v>
      </c>
      <c r="B49" s="1" t="s">
        <v>52</v>
      </c>
      <c r="C49" s="1" t="s">
        <v>53</v>
      </c>
      <c r="D49" s="1" t="s">
        <v>54</v>
      </c>
      <c r="E49" s="1" t="s">
        <v>55</v>
      </c>
      <c r="F49" s="3" t="n">
        <v>0.46525462962963</v>
      </c>
    </row>
    <row r="50" customFormat="false" ht="14.65" hidden="false" customHeight="false" outlineLevel="0" collapsed="false">
      <c r="A50" s="1" t="s">
        <v>56</v>
      </c>
      <c r="B50" s="1" t="s">
        <v>57</v>
      </c>
      <c r="C50" s="1" t="s">
        <v>60</v>
      </c>
      <c r="D50" s="1" t="s">
        <v>63</v>
      </c>
      <c r="E50" s="1" t="s">
        <v>146</v>
      </c>
    </row>
    <row r="52" customFormat="false" ht="14.65" hidden="false" customHeight="false" outlineLevel="0" collapsed="false">
      <c r="A52" s="1" t="s">
        <v>65</v>
      </c>
      <c r="B52" s="1" t="s">
        <v>66</v>
      </c>
      <c r="C52" s="1" t="s">
        <v>67</v>
      </c>
      <c r="D52" s="1" t="s">
        <v>68</v>
      </c>
      <c r="E52" s="1" t="s">
        <v>69</v>
      </c>
      <c r="F52" s="1" t="n">
        <v>6858</v>
      </c>
      <c r="G52" s="1" t="s">
        <v>70</v>
      </c>
      <c r="H52" s="1" t="s">
        <v>71</v>
      </c>
      <c r="I52" s="1" t="n">
        <v>1</v>
      </c>
      <c r="J52" s="1" t="s">
        <v>72</v>
      </c>
      <c r="K52" s="1" t="s">
        <v>69</v>
      </c>
      <c r="L52" s="1" t="s">
        <v>73</v>
      </c>
    </row>
    <row r="55" customFormat="false" ht="14.65" hidden="false" customHeight="false" outlineLevel="0" collapsed="false">
      <c r="A55" s="1" t="s">
        <v>17</v>
      </c>
    </row>
    <row r="56" customFormat="false" ht="14.65" hidden="false" customHeight="false" outlineLevel="0" collapsed="false">
      <c r="A56" s="1" t="s">
        <v>18</v>
      </c>
      <c r="B56" s="1" t="n">
        <v>103</v>
      </c>
      <c r="C56" s="1" t="s">
        <v>19</v>
      </c>
      <c r="D56" s="2" t="n">
        <v>33957</v>
      </c>
    </row>
    <row r="58" customFormat="false" ht="14.65" hidden="false" customHeight="false" outlineLevel="0" collapsed="false">
      <c r="A58" s="1" t="s">
        <v>0</v>
      </c>
      <c r="B58" s="1" t="s">
        <v>1</v>
      </c>
      <c r="C58" s="1" t="s">
        <v>21</v>
      </c>
    </row>
    <row r="59" customFormat="false" ht="14.65" hidden="false" customHeight="false" outlineLevel="0" collapsed="false">
      <c r="A59" s="1" t="s">
        <v>3</v>
      </c>
      <c r="B59" s="1" t="s">
        <v>4</v>
      </c>
      <c r="C59" s="1" t="s">
        <v>1</v>
      </c>
      <c r="D59" s="1" t="s">
        <v>147</v>
      </c>
    </row>
    <row r="61" customFormat="false" ht="14.65" hidden="false" customHeight="false" outlineLevel="0" collapsed="false">
      <c r="A61" s="1" t="s">
        <v>6</v>
      </c>
      <c r="B61" s="1" t="s">
        <v>7</v>
      </c>
      <c r="C61" s="1" t="s">
        <v>48</v>
      </c>
      <c r="D61" s="1" t="s">
        <v>8</v>
      </c>
      <c r="E61" s="1" t="s">
        <v>49</v>
      </c>
      <c r="F61" s="1" t="s">
        <v>50</v>
      </c>
      <c r="G61" s="1" t="s">
        <v>15</v>
      </c>
    </row>
    <row r="63" customFormat="false" ht="14.65" hidden="false" customHeight="false" outlineLevel="0" collapsed="false">
      <c r="A63" s="1" t="s">
        <v>12</v>
      </c>
      <c r="B63" s="1" t="s">
        <v>13</v>
      </c>
      <c r="C63" s="1" t="s">
        <v>84</v>
      </c>
      <c r="D63" s="1" t="n">
        <v>21.291</v>
      </c>
      <c r="E63" s="1" t="n">
        <v>56.2797</v>
      </c>
      <c r="F63" s="1" t="n">
        <v>8159</v>
      </c>
    </row>
    <row r="65" customFormat="false" ht="14.65" hidden="false" customHeight="false" outlineLevel="0" collapsed="false">
      <c r="A65" s="1" t="s">
        <v>147</v>
      </c>
      <c r="B65" s="1" t="n">
        <v>0</v>
      </c>
      <c r="C65" s="1" t="n">
        <v>0</v>
      </c>
      <c r="D65" s="1" t="n">
        <v>0</v>
      </c>
      <c r="E65" s="1" t="n">
        <v>5511</v>
      </c>
    </row>
    <row r="66" customFormat="false" ht="14.65" hidden="false" customHeight="false" outlineLevel="0" collapsed="false">
      <c r="A66" s="1" t="s">
        <v>147</v>
      </c>
      <c r="B66" s="1" t="n">
        <v>1</v>
      </c>
      <c r="C66" s="1" t="n">
        <v>54.5202</v>
      </c>
      <c r="D66" s="1" t="n">
        <v>74.2332</v>
      </c>
      <c r="E66" s="1" t="n">
        <v>2107</v>
      </c>
    </row>
    <row r="67" customFormat="false" ht="14.65" hidden="false" customHeight="false" outlineLevel="0" collapsed="false">
      <c r="A67" s="1" t="s">
        <v>147</v>
      </c>
      <c r="B67" s="1" t="n">
        <v>2</v>
      </c>
      <c r="C67" s="1" t="n">
        <v>97.7428</v>
      </c>
      <c r="D67" s="1" t="n">
        <v>92.0974</v>
      </c>
      <c r="E67" s="1" t="n">
        <v>416</v>
      </c>
    </row>
    <row r="68" customFormat="false" ht="14.65" hidden="false" customHeight="false" outlineLevel="0" collapsed="false">
      <c r="A68" s="1" t="s">
        <v>147</v>
      </c>
      <c r="B68" s="1" t="n">
        <v>3</v>
      </c>
      <c r="C68" s="1" t="n">
        <v>137.7857</v>
      </c>
      <c r="D68" s="1" t="n">
        <v>107.613</v>
      </c>
      <c r="E68" s="1" t="n">
        <v>84</v>
      </c>
    </row>
    <row r="69" customFormat="false" ht="14.65" hidden="false" customHeight="false" outlineLevel="0" collapsed="false">
      <c r="A69" s="1" t="s">
        <v>147</v>
      </c>
      <c r="B69" s="1" t="n">
        <v>4</v>
      </c>
      <c r="C69" s="1" t="n">
        <v>154.6207</v>
      </c>
      <c r="D69" s="1" t="n">
        <v>106.904</v>
      </c>
      <c r="E69" s="1" t="n">
        <v>29</v>
      </c>
    </row>
    <row r="70" customFormat="false" ht="14.65" hidden="false" customHeight="false" outlineLevel="0" collapsed="false">
      <c r="A70" s="1" t="s">
        <v>147</v>
      </c>
      <c r="B70" s="1" t="n">
        <v>5</v>
      </c>
      <c r="C70" s="1" t="n">
        <v>220.75</v>
      </c>
      <c r="D70" s="1" t="n">
        <v>156.5893</v>
      </c>
      <c r="E70" s="1" t="n">
        <v>8</v>
      </c>
    </row>
    <row r="71" customFormat="false" ht="14.65" hidden="false" customHeight="false" outlineLevel="0" collapsed="false">
      <c r="A71" s="1" t="s">
        <v>147</v>
      </c>
      <c r="B71" s="1" t="n">
        <v>6</v>
      </c>
      <c r="C71" s="1" t="n">
        <v>132</v>
      </c>
      <c r="D71" s="1" t="n">
        <v>45.2548</v>
      </c>
      <c r="E71" s="1" t="n">
        <v>2</v>
      </c>
    </row>
    <row r="72" customFormat="false" ht="14.65" hidden="false" customHeight="false" outlineLevel="0" collapsed="false">
      <c r="A72" s="1" t="s">
        <v>147</v>
      </c>
      <c r="B72" s="1" t="n">
        <v>7</v>
      </c>
      <c r="C72" s="1" t="n">
        <v>90</v>
      </c>
      <c r="D72" s="1" t="n">
        <v>0</v>
      </c>
      <c r="E72" s="1" t="n">
        <v>1</v>
      </c>
    </row>
    <row r="73" customFormat="false" ht="14.65" hidden="false" customHeight="false" outlineLevel="0" collapsed="false">
      <c r="A73" s="1" t="s">
        <v>147</v>
      </c>
      <c r="B73" s="1" t="n">
        <v>10</v>
      </c>
      <c r="C73" s="1" t="n">
        <v>0</v>
      </c>
      <c r="D73" s="1" t="n">
        <v>0</v>
      </c>
      <c r="E73" s="1" t="n">
        <v>1</v>
      </c>
    </row>
    <row r="75" customFormat="false" ht="14.65" hidden="false" customHeight="false" outlineLevel="0" collapsed="false">
      <c r="B75" s="1" t="s">
        <v>14</v>
      </c>
      <c r="C75" s="1" t="s">
        <v>15</v>
      </c>
      <c r="D75" s="1" t="s">
        <v>16</v>
      </c>
      <c r="E75" s="1" t="n">
        <v>8159</v>
      </c>
    </row>
    <row r="76" customFormat="false" ht="14.65" hidden="false" customHeight="false" outlineLevel="0" collapsed="false">
      <c r="A76" s="1" t="s">
        <v>17</v>
      </c>
    </row>
    <row r="77" customFormat="false" ht="14.65" hidden="false" customHeight="false" outlineLevel="0" collapsed="false">
      <c r="A77" s="1" t="s">
        <v>18</v>
      </c>
      <c r="B77" s="1" t="n">
        <v>104</v>
      </c>
      <c r="C77" s="1" t="s">
        <v>19</v>
      </c>
      <c r="D77" s="2" t="n">
        <v>33957</v>
      </c>
    </row>
    <row r="79" customFormat="false" ht="14.65" hidden="false" customHeight="false" outlineLevel="0" collapsed="false">
      <c r="A79" s="1" t="s">
        <v>51</v>
      </c>
      <c r="B79" s="1" t="s">
        <v>52</v>
      </c>
      <c r="C79" s="1" t="s">
        <v>53</v>
      </c>
      <c r="D79" s="1" t="s">
        <v>54</v>
      </c>
      <c r="E79" s="1" t="s">
        <v>55</v>
      </c>
      <c r="F79" s="3" t="n">
        <v>0.465902777777778</v>
      </c>
    </row>
    <row r="80" customFormat="false" ht="14.65" hidden="false" customHeight="false" outlineLevel="0" collapsed="false">
      <c r="A80" s="1" t="s">
        <v>56</v>
      </c>
      <c r="B80" s="1" t="s">
        <v>57</v>
      </c>
      <c r="C80" s="1" t="s">
        <v>61</v>
      </c>
      <c r="D80" s="1" t="s">
        <v>63</v>
      </c>
      <c r="E80" s="1" t="s">
        <v>148</v>
      </c>
    </row>
    <row r="82" customFormat="false" ht="14.65" hidden="false" customHeight="false" outlineLevel="0" collapsed="false">
      <c r="A82" s="1" t="s">
        <v>65</v>
      </c>
      <c r="B82" s="1" t="s">
        <v>66</v>
      </c>
      <c r="C82" s="1" t="s">
        <v>67</v>
      </c>
      <c r="D82" s="1" t="s">
        <v>68</v>
      </c>
      <c r="E82" s="1" t="s">
        <v>69</v>
      </c>
      <c r="F82" s="1" t="n">
        <v>6858</v>
      </c>
      <c r="G82" s="1" t="s">
        <v>70</v>
      </c>
      <c r="H82" s="1" t="s">
        <v>71</v>
      </c>
      <c r="I82" s="1" t="n">
        <v>1</v>
      </c>
      <c r="J82" s="1" t="s">
        <v>72</v>
      </c>
      <c r="K82" s="1" t="s">
        <v>69</v>
      </c>
      <c r="L82" s="1" t="s">
        <v>73</v>
      </c>
    </row>
    <row r="85" customFormat="false" ht="14.65" hidden="false" customHeight="false" outlineLevel="0" collapsed="false">
      <c r="A85" s="1" t="s">
        <v>17</v>
      </c>
    </row>
    <row r="86" customFormat="false" ht="14.65" hidden="false" customHeight="false" outlineLevel="0" collapsed="false">
      <c r="A86" s="1" t="s">
        <v>18</v>
      </c>
      <c r="B86" s="1" t="n">
        <v>105</v>
      </c>
      <c r="C86" s="1" t="s">
        <v>19</v>
      </c>
      <c r="D86" s="2" t="n">
        <v>33957</v>
      </c>
    </row>
    <row r="88" customFormat="false" ht="14.65" hidden="false" customHeight="false" outlineLevel="0" collapsed="false">
      <c r="A88" s="1" t="s">
        <v>0</v>
      </c>
      <c r="B88" s="1" t="s">
        <v>1</v>
      </c>
      <c r="C88" s="1" t="s">
        <v>22</v>
      </c>
    </row>
    <row r="89" customFormat="false" ht="14.65" hidden="false" customHeight="false" outlineLevel="0" collapsed="false">
      <c r="A89" s="1" t="s">
        <v>3</v>
      </c>
      <c r="B89" s="1" t="s">
        <v>4</v>
      </c>
      <c r="C89" s="1" t="s">
        <v>1</v>
      </c>
      <c r="D89" s="1" t="s">
        <v>149</v>
      </c>
    </row>
    <row r="91" customFormat="false" ht="14.65" hidden="false" customHeight="false" outlineLevel="0" collapsed="false">
      <c r="A91" s="1" t="s">
        <v>6</v>
      </c>
      <c r="B91" s="1" t="s">
        <v>7</v>
      </c>
      <c r="C91" s="1" t="s">
        <v>48</v>
      </c>
      <c r="D91" s="1" t="s">
        <v>8</v>
      </c>
      <c r="E91" s="1" t="s">
        <v>49</v>
      </c>
      <c r="F91" s="1" t="s">
        <v>50</v>
      </c>
      <c r="G91" s="1" t="s">
        <v>15</v>
      </c>
    </row>
    <row r="93" customFormat="false" ht="14.65" hidden="false" customHeight="false" outlineLevel="0" collapsed="false">
      <c r="A93" s="1" t="s">
        <v>12</v>
      </c>
      <c r="B93" s="1" t="s">
        <v>13</v>
      </c>
      <c r="C93" s="1" t="s">
        <v>84</v>
      </c>
      <c r="D93" s="1" t="n">
        <v>109.905</v>
      </c>
      <c r="E93" s="1" t="n">
        <v>158.4693</v>
      </c>
      <c r="F93" s="1" t="n">
        <v>8159</v>
      </c>
    </row>
    <row r="95" customFormat="false" ht="14.65" hidden="false" customHeight="false" outlineLevel="0" collapsed="false">
      <c r="A95" s="1" t="s">
        <v>149</v>
      </c>
      <c r="B95" s="1" t="n">
        <v>0</v>
      </c>
      <c r="C95" s="1" t="n">
        <v>0</v>
      </c>
      <c r="D95" s="1" t="n">
        <v>0</v>
      </c>
      <c r="E95" s="1" t="n">
        <v>3328</v>
      </c>
    </row>
    <row r="96" customFormat="false" ht="14.65" hidden="false" customHeight="false" outlineLevel="0" collapsed="false">
      <c r="A96" s="1" t="s">
        <v>149</v>
      </c>
      <c r="B96" s="1" t="n">
        <v>1</v>
      </c>
      <c r="C96" s="1" t="n">
        <v>143.6957</v>
      </c>
      <c r="D96" s="1" t="n">
        <v>149.5275</v>
      </c>
      <c r="E96" s="1" t="n">
        <v>2609</v>
      </c>
    </row>
    <row r="97" customFormat="false" ht="14.65" hidden="false" customHeight="false" outlineLevel="0" collapsed="false">
      <c r="A97" s="1" t="s">
        <v>149</v>
      </c>
      <c r="B97" s="1" t="n">
        <v>2</v>
      </c>
      <c r="C97" s="1" t="n">
        <v>196.665</v>
      </c>
      <c r="D97" s="1" t="n">
        <v>168.0122</v>
      </c>
      <c r="E97" s="1" t="n">
        <v>1212</v>
      </c>
    </row>
    <row r="98" customFormat="false" ht="14.65" hidden="false" customHeight="false" outlineLevel="0" collapsed="false">
      <c r="A98" s="1" t="s">
        <v>149</v>
      </c>
      <c r="B98" s="1" t="n">
        <v>3</v>
      </c>
      <c r="C98" s="1" t="n">
        <v>259.541</v>
      </c>
      <c r="D98" s="1" t="n">
        <v>171.693</v>
      </c>
      <c r="E98" s="1" t="n">
        <v>536</v>
      </c>
    </row>
    <row r="99" customFormat="false" ht="14.65" hidden="false" customHeight="false" outlineLevel="0" collapsed="false">
      <c r="A99" s="1" t="s">
        <v>149</v>
      </c>
      <c r="B99" s="1" t="n">
        <v>4</v>
      </c>
      <c r="C99" s="1" t="n">
        <v>294.4938</v>
      </c>
      <c r="D99" s="1" t="n">
        <v>173.3882</v>
      </c>
      <c r="E99" s="1" t="n">
        <v>243</v>
      </c>
    </row>
    <row r="100" customFormat="false" ht="14.65" hidden="false" customHeight="false" outlineLevel="0" collapsed="false">
      <c r="A100" s="1" t="s">
        <v>149</v>
      </c>
      <c r="B100" s="1" t="n">
        <v>5</v>
      </c>
      <c r="C100" s="1" t="n">
        <v>312.2222</v>
      </c>
      <c r="D100" s="1" t="n">
        <v>183.2378</v>
      </c>
      <c r="E100" s="1" t="n">
        <v>126</v>
      </c>
    </row>
    <row r="101" customFormat="false" ht="14.65" hidden="false" customHeight="false" outlineLevel="0" collapsed="false">
      <c r="A101" s="1" t="s">
        <v>149</v>
      </c>
      <c r="B101" s="1" t="n">
        <v>6</v>
      </c>
      <c r="C101" s="1" t="n">
        <v>311.8627</v>
      </c>
      <c r="D101" s="1" t="n">
        <v>175.8868</v>
      </c>
      <c r="E101" s="1" t="n">
        <v>51</v>
      </c>
    </row>
    <row r="102" customFormat="false" ht="14.65" hidden="false" customHeight="false" outlineLevel="0" collapsed="false">
      <c r="A102" s="1" t="s">
        <v>149</v>
      </c>
      <c r="B102" s="1" t="n">
        <v>7</v>
      </c>
      <c r="C102" s="1" t="n">
        <v>331.8261</v>
      </c>
      <c r="D102" s="1" t="n">
        <v>138.122</v>
      </c>
      <c r="E102" s="1" t="n">
        <v>23</v>
      </c>
    </row>
    <row r="103" customFormat="false" ht="14.65" hidden="false" customHeight="false" outlineLevel="0" collapsed="false">
      <c r="A103" s="1" t="s">
        <v>149</v>
      </c>
      <c r="B103" s="1" t="n">
        <v>8</v>
      </c>
      <c r="C103" s="1" t="n">
        <v>270.4444</v>
      </c>
      <c r="D103" s="1" t="n">
        <v>160.0346</v>
      </c>
      <c r="E103" s="1" t="n">
        <v>18</v>
      </c>
    </row>
    <row r="104" customFormat="false" ht="14.65" hidden="false" customHeight="false" outlineLevel="0" collapsed="false">
      <c r="A104" s="1" t="s">
        <v>149</v>
      </c>
      <c r="B104" s="1" t="n">
        <v>9</v>
      </c>
      <c r="C104" s="1" t="n">
        <v>373.3333</v>
      </c>
      <c r="D104" s="1" t="n">
        <v>147.8014</v>
      </c>
      <c r="E104" s="1" t="n">
        <v>9</v>
      </c>
    </row>
    <row r="105" customFormat="false" ht="14.65" hidden="false" customHeight="false" outlineLevel="0" collapsed="false">
      <c r="A105" s="1" t="s">
        <v>149</v>
      </c>
      <c r="B105" s="1" t="n">
        <v>11</v>
      </c>
      <c r="C105" s="1" t="n">
        <v>359.3333</v>
      </c>
      <c r="D105" s="1" t="n">
        <v>210.2792</v>
      </c>
      <c r="E105" s="1" t="n">
        <v>3</v>
      </c>
    </row>
    <row r="106" customFormat="false" ht="14.65" hidden="false" customHeight="false" outlineLevel="0" collapsed="false">
      <c r="A106" s="1" t="s">
        <v>149</v>
      </c>
      <c r="B106" s="1" t="n">
        <v>12</v>
      </c>
      <c r="C106" s="1" t="n">
        <v>596</v>
      </c>
      <c r="D106" s="1" t="n">
        <v>0</v>
      </c>
      <c r="E106" s="1" t="n">
        <v>1</v>
      </c>
    </row>
    <row r="108" customFormat="false" ht="14.65" hidden="false" customHeight="false" outlineLevel="0" collapsed="false">
      <c r="B108" s="1" t="s">
        <v>14</v>
      </c>
      <c r="C108" s="1" t="s">
        <v>15</v>
      </c>
      <c r="D108" s="1" t="s">
        <v>16</v>
      </c>
      <c r="E108" s="1" t="n">
        <v>8159</v>
      </c>
    </row>
    <row r="110" customFormat="false" ht="14.65" hidden="false" customHeight="false" outlineLevel="0" collapsed="false">
      <c r="A110" s="1" t="s">
        <v>51</v>
      </c>
      <c r="B110" s="1" t="s">
        <v>52</v>
      </c>
      <c r="C110" s="1" t="s">
        <v>53</v>
      </c>
      <c r="D110" s="1" t="s">
        <v>54</v>
      </c>
      <c r="E110" s="1" t="s">
        <v>55</v>
      </c>
      <c r="F110" s="3" t="n">
        <v>0.466446759259259</v>
      </c>
    </row>
    <row r="111" customFormat="false" ht="14.65" hidden="false" customHeight="false" outlineLevel="0" collapsed="false">
      <c r="A111" s="1" t="s">
        <v>56</v>
      </c>
      <c r="B111" s="1" t="s">
        <v>57</v>
      </c>
      <c r="C111" s="1" t="s">
        <v>62</v>
      </c>
      <c r="D111" s="1" t="s">
        <v>63</v>
      </c>
      <c r="E111" s="1" t="s">
        <v>150</v>
      </c>
    </row>
    <row r="113" customFormat="false" ht="14.65" hidden="false" customHeight="false" outlineLevel="0" collapsed="false">
      <c r="A113" s="1" t="s">
        <v>65</v>
      </c>
      <c r="B113" s="1" t="s">
        <v>66</v>
      </c>
      <c r="C113" s="1" t="s">
        <v>67</v>
      </c>
      <c r="D113" s="1" t="s">
        <v>68</v>
      </c>
      <c r="E113" s="1" t="s">
        <v>69</v>
      </c>
      <c r="F113" s="1" t="n">
        <v>6858</v>
      </c>
      <c r="G113" s="1" t="s">
        <v>70</v>
      </c>
      <c r="H113" s="1" t="s">
        <v>71</v>
      </c>
      <c r="I113" s="1" t="n">
        <v>1</v>
      </c>
      <c r="J113" s="1" t="s">
        <v>72</v>
      </c>
      <c r="K113" s="1" t="s">
        <v>69</v>
      </c>
      <c r="L113" s="1" t="s">
        <v>73</v>
      </c>
    </row>
    <row r="116" customFormat="false" ht="14.65" hidden="false" customHeight="false" outlineLevel="0" collapsed="false">
      <c r="A116" s="1" t="s">
        <v>17</v>
      </c>
    </row>
    <row r="117" customFormat="false" ht="14.65" hidden="false" customHeight="false" outlineLevel="0" collapsed="false">
      <c r="A117" s="1" t="s">
        <v>18</v>
      </c>
      <c r="B117" s="1" t="n">
        <v>108</v>
      </c>
      <c r="C117" s="1" t="s">
        <v>19</v>
      </c>
      <c r="D117" s="2" t="n">
        <v>33957</v>
      </c>
    </row>
    <row r="119" customFormat="false" ht="14.65" hidden="false" customHeight="false" outlineLevel="0" collapsed="false">
      <c r="A119" s="1" t="s">
        <v>0</v>
      </c>
      <c r="B119" s="1" t="s">
        <v>1</v>
      </c>
      <c r="C119" s="1" t="s">
        <v>23</v>
      </c>
    </row>
    <row r="120" customFormat="false" ht="14.65" hidden="false" customHeight="false" outlineLevel="0" collapsed="false">
      <c r="A120" s="1" t="s">
        <v>3</v>
      </c>
      <c r="B120" s="1" t="s">
        <v>4</v>
      </c>
      <c r="C120" s="1" t="s">
        <v>1</v>
      </c>
      <c r="D120" s="1" t="s">
        <v>151</v>
      </c>
    </row>
    <row r="122" customFormat="false" ht="14.65" hidden="false" customHeight="false" outlineLevel="0" collapsed="false">
      <c r="A122" s="1" t="s">
        <v>6</v>
      </c>
      <c r="B122" s="1" t="s">
        <v>7</v>
      </c>
      <c r="C122" s="1" t="s">
        <v>48</v>
      </c>
      <c r="D122" s="1" t="s">
        <v>8</v>
      </c>
      <c r="E122" s="1" t="s">
        <v>49</v>
      </c>
      <c r="F122" s="1" t="s">
        <v>50</v>
      </c>
      <c r="G122" s="1" t="s">
        <v>15</v>
      </c>
    </row>
    <row r="124" customFormat="false" ht="14.65" hidden="false" customHeight="false" outlineLevel="0" collapsed="false">
      <c r="A124" s="1" t="s">
        <v>12</v>
      </c>
      <c r="B124" s="1" t="s">
        <v>13</v>
      </c>
      <c r="C124" s="1" t="s">
        <v>84</v>
      </c>
      <c r="D124" s="1" t="n">
        <v>64.8264</v>
      </c>
      <c r="E124" s="1" t="n">
        <v>62.2463</v>
      </c>
      <c r="F124" s="1" t="n">
        <v>8159</v>
      </c>
    </row>
    <row r="126" customFormat="false" ht="14.65" hidden="false" customHeight="false" outlineLevel="0" collapsed="false">
      <c r="A126" s="1" t="s">
        <v>151</v>
      </c>
      <c r="B126" s="1" t="n">
        <v>1</v>
      </c>
      <c r="C126" s="1" t="n">
        <v>119.1829</v>
      </c>
      <c r="D126" s="1" t="n">
        <v>163.1407</v>
      </c>
      <c r="E126" s="1" t="n">
        <v>164</v>
      </c>
    </row>
    <row r="127" customFormat="false" ht="14.65" hidden="false" customHeight="false" outlineLevel="0" collapsed="false">
      <c r="A127" s="1" t="s">
        <v>151</v>
      </c>
      <c r="B127" s="1" t="n">
        <v>2</v>
      </c>
      <c r="C127" s="1" t="n">
        <v>45.8578</v>
      </c>
      <c r="D127" s="1" t="n">
        <v>50.4117</v>
      </c>
      <c r="E127" s="1" t="n">
        <v>3517</v>
      </c>
    </row>
    <row r="128" customFormat="false" ht="14.65" hidden="false" customHeight="false" outlineLevel="0" collapsed="false">
      <c r="A128" s="1" t="s">
        <v>151</v>
      </c>
      <c r="B128" s="1" t="n">
        <v>3</v>
      </c>
      <c r="C128" s="1" t="n">
        <v>60.4854</v>
      </c>
      <c r="D128" s="1" t="n">
        <v>61.1175</v>
      </c>
      <c r="E128" s="1" t="n">
        <v>960</v>
      </c>
    </row>
    <row r="129" customFormat="false" ht="14.65" hidden="false" customHeight="false" outlineLevel="0" collapsed="false">
      <c r="A129" s="1" t="s">
        <v>151</v>
      </c>
      <c r="B129" s="1" t="n">
        <v>4</v>
      </c>
      <c r="C129" s="1" t="n">
        <v>67.6139</v>
      </c>
      <c r="D129" s="1" t="n">
        <v>48.7941</v>
      </c>
      <c r="E129" s="1" t="n">
        <v>1606</v>
      </c>
    </row>
    <row r="130" customFormat="false" ht="14.65" hidden="false" customHeight="false" outlineLevel="0" collapsed="false">
      <c r="A130" s="1" t="s">
        <v>151</v>
      </c>
      <c r="B130" s="1" t="n">
        <v>5</v>
      </c>
      <c r="C130" s="1" t="n">
        <v>81.4116</v>
      </c>
      <c r="D130" s="1" t="n">
        <v>61.2787</v>
      </c>
      <c r="E130" s="1" t="n">
        <v>707</v>
      </c>
    </row>
    <row r="131" customFormat="false" ht="14.65" hidden="false" customHeight="false" outlineLevel="0" collapsed="false">
      <c r="A131" s="1" t="s">
        <v>151</v>
      </c>
      <c r="B131" s="1" t="n">
        <v>6</v>
      </c>
      <c r="C131" s="1" t="n">
        <v>92.5018</v>
      </c>
      <c r="D131" s="1" t="n">
        <v>59.3394</v>
      </c>
      <c r="E131" s="1" t="n">
        <v>564</v>
      </c>
    </row>
    <row r="132" customFormat="false" ht="14.65" hidden="false" customHeight="false" outlineLevel="0" collapsed="false">
      <c r="A132" s="1" t="s">
        <v>151</v>
      </c>
      <c r="B132" s="1" t="n">
        <v>7</v>
      </c>
      <c r="C132" s="1" t="n">
        <v>102.7849</v>
      </c>
      <c r="D132" s="1" t="n">
        <v>55.901</v>
      </c>
      <c r="E132" s="1" t="n">
        <v>265</v>
      </c>
    </row>
    <row r="133" customFormat="false" ht="14.65" hidden="false" customHeight="false" outlineLevel="0" collapsed="false">
      <c r="A133" s="1" t="s">
        <v>151</v>
      </c>
      <c r="B133" s="1" t="n">
        <v>8</v>
      </c>
      <c r="C133" s="1" t="n">
        <v>112.7651</v>
      </c>
      <c r="D133" s="1" t="n">
        <v>67.7332</v>
      </c>
      <c r="E133" s="1" t="n">
        <v>166</v>
      </c>
    </row>
    <row r="134" customFormat="false" ht="14.65" hidden="false" customHeight="false" outlineLevel="0" collapsed="false">
      <c r="A134" s="1" t="s">
        <v>151</v>
      </c>
      <c r="B134" s="1" t="n">
        <v>9</v>
      </c>
      <c r="C134" s="1" t="n">
        <v>107</v>
      </c>
      <c r="D134" s="1" t="n">
        <v>58.0548</v>
      </c>
      <c r="E134" s="1" t="n">
        <v>91</v>
      </c>
    </row>
    <row r="135" customFormat="false" ht="14.65" hidden="false" customHeight="false" outlineLevel="0" collapsed="false">
      <c r="A135" s="1" t="s">
        <v>151</v>
      </c>
      <c r="B135" s="1" t="n">
        <v>10</v>
      </c>
      <c r="C135" s="1" t="n">
        <v>129.2979</v>
      </c>
      <c r="D135" s="1" t="n">
        <v>68.865</v>
      </c>
      <c r="E135" s="1" t="n">
        <v>47</v>
      </c>
    </row>
    <row r="136" customFormat="false" ht="14.65" hidden="false" customHeight="false" outlineLevel="0" collapsed="false">
      <c r="A136" s="1" t="s">
        <v>151</v>
      </c>
      <c r="B136" s="1" t="n">
        <v>11</v>
      </c>
      <c r="C136" s="1" t="n">
        <v>132.0952</v>
      </c>
      <c r="D136" s="1" t="n">
        <v>62.8871</v>
      </c>
      <c r="E136" s="1" t="n">
        <v>21</v>
      </c>
    </row>
    <row r="137" customFormat="false" ht="14.65" hidden="false" customHeight="false" outlineLevel="0" collapsed="false">
      <c r="A137" s="1" t="s">
        <v>151</v>
      </c>
      <c r="B137" s="1" t="n">
        <v>12</v>
      </c>
      <c r="C137" s="1" t="n">
        <v>141.85</v>
      </c>
      <c r="D137" s="1" t="n">
        <v>77.7961</v>
      </c>
      <c r="E137" s="1" t="n">
        <v>20</v>
      </c>
    </row>
    <row r="138" customFormat="false" ht="14.65" hidden="false" customHeight="false" outlineLevel="0" collapsed="false">
      <c r="A138" s="1" t="s">
        <v>151</v>
      </c>
      <c r="B138" s="1" t="n">
        <v>13</v>
      </c>
      <c r="C138" s="1" t="n">
        <v>135.8889</v>
      </c>
      <c r="D138" s="1" t="n">
        <v>49.9752</v>
      </c>
      <c r="E138" s="1" t="n">
        <v>18</v>
      </c>
    </row>
    <row r="139" customFormat="false" ht="14.65" hidden="false" customHeight="false" outlineLevel="0" collapsed="false">
      <c r="A139" s="1" t="s">
        <v>151</v>
      </c>
      <c r="B139" s="1" t="n">
        <v>14</v>
      </c>
      <c r="C139" s="1" t="n">
        <v>168.6667</v>
      </c>
      <c r="D139" s="1" t="n">
        <v>37.2872</v>
      </c>
      <c r="E139" s="1" t="n">
        <v>3</v>
      </c>
    </row>
    <row r="140" customFormat="false" ht="14.65" hidden="false" customHeight="false" outlineLevel="0" collapsed="false">
      <c r="A140" s="1" t="s">
        <v>151</v>
      </c>
      <c r="B140" s="1" t="n">
        <v>15</v>
      </c>
      <c r="C140" s="1" t="n">
        <v>137.4</v>
      </c>
      <c r="D140" s="1" t="n">
        <v>65.4136</v>
      </c>
      <c r="E140" s="1" t="n">
        <v>10</v>
      </c>
    </row>
    <row r="142" customFormat="false" ht="14.65" hidden="false" customHeight="false" outlineLevel="0" collapsed="false">
      <c r="B142" s="1" t="s">
        <v>14</v>
      </c>
      <c r="C142" s="1" t="s">
        <v>15</v>
      </c>
      <c r="D142" s="1" t="s">
        <v>16</v>
      </c>
      <c r="E142" s="1" t="n">
        <v>8159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35"/>
  <sheetViews>
    <sheetView showFormulas="false" showGridLines="true" showRowColHeaders="true" showZeros="true" rightToLeft="false" tabSelected="false" showOutlineSymbols="true" defaultGridColor="true" view="normal" topLeftCell="AQ13" colorId="64" zoomScale="100" zoomScaleNormal="100" zoomScalePageLayoutView="100" workbookViewId="0">
      <selection pane="topLeft" activeCell="AB17" activeCellId="0" sqref="AB17:AZ33 AB17:AZ33"/>
    </sheetView>
  </sheetViews>
  <sheetFormatPr defaultColWidth="5.70703125" defaultRowHeight="14.65" customHeight="false" zeroHeight="false" outlineLevelRow="0" outlineLevelCol="0"/>
  <cols>
    <col collapsed="false" customWidth="true" hidden="false" outlineLevel="0" max="1" min="1" style="10" width="7.42"/>
    <col collapsed="false" customWidth="true" hidden="false" outlineLevel="0" max="2" min="2" style="10" width="17.85"/>
    <col collapsed="false" customWidth="false" hidden="false" outlineLevel="0" max="4" min="3" style="10" width="5.71"/>
    <col collapsed="false" customWidth="true" hidden="false" outlineLevel="0" max="5" min="5" style="10" width="5.42"/>
    <col collapsed="false" customWidth="false" hidden="false" outlineLevel="0" max="27" min="6" style="10" width="5.71"/>
    <col collapsed="false" customWidth="true" hidden="false" outlineLevel="0" max="28" min="28" style="10" width="6.99"/>
    <col collapsed="false" customWidth="true" hidden="false" outlineLevel="0" max="29" min="29" style="10" width="18.99"/>
    <col collapsed="false" customWidth="false" hidden="false" outlineLevel="0" max="257" min="30" style="10" width="5.71"/>
  </cols>
  <sheetData>
    <row r="1" customFormat="false" ht="14.65" hidden="false" customHeight="false" outlineLevel="0" collapsed="false">
      <c r="A1" s="10" t="s">
        <v>152</v>
      </c>
    </row>
    <row r="3" customFormat="false" ht="14.65" hidden="false" customHeight="false" outlineLevel="0" collapsed="false">
      <c r="A3" s="10" t="s">
        <v>153</v>
      </c>
      <c r="B3" s="10" t="s">
        <v>75</v>
      </c>
      <c r="C3" s="10" t="n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customFormat="false" ht="14.65" hidden="false" customHeight="false" outlineLevel="0" collapsed="false">
      <c r="A4" s="10" t="s">
        <v>154</v>
      </c>
      <c r="B4" s="10" t="s">
        <v>76</v>
      </c>
      <c r="C4" s="10" t="n">
        <v>-0.7371</v>
      </c>
      <c r="D4" s="10" t="s">
        <v>155</v>
      </c>
      <c r="E4" s="10" t="n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customFormat="false" ht="14.65" hidden="false" customHeight="false" outlineLevel="0" collapsed="false">
      <c r="B5" s="10" t="s">
        <v>156</v>
      </c>
      <c r="C5" s="10" t="n">
        <v>-0.1049</v>
      </c>
      <c r="D5" s="10" t="s">
        <v>155</v>
      </c>
      <c r="E5" s="10" t="n">
        <v>-0.0653</v>
      </c>
      <c r="F5" s="10" t="s">
        <v>155</v>
      </c>
      <c r="G5" s="10" t="n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customFormat="false" ht="14.65" hidden="false" customHeight="false" outlineLevel="0" collapsed="false">
      <c r="B6" s="10" t="s">
        <v>77</v>
      </c>
      <c r="C6" s="10" t="n">
        <v>0.0673</v>
      </c>
      <c r="D6" s="10" t="s">
        <v>155</v>
      </c>
      <c r="E6" s="10" t="n">
        <v>-0.2225</v>
      </c>
      <c r="F6" s="10" t="s">
        <v>155</v>
      </c>
      <c r="G6" s="10" t="n">
        <v>-0.0284</v>
      </c>
      <c r="H6" s="10" t="s">
        <v>157</v>
      </c>
      <c r="I6" s="10" t="n">
        <v>1</v>
      </c>
    </row>
    <row r="7" customFormat="false" ht="14.65" hidden="false" customHeight="false" outlineLevel="0" collapsed="false">
      <c r="B7" s="10" t="s">
        <v>158</v>
      </c>
      <c r="C7" s="10" t="n">
        <v>-0.1211</v>
      </c>
      <c r="D7" s="10" t="s">
        <v>155</v>
      </c>
      <c r="E7" s="10" t="n">
        <v>-0.142</v>
      </c>
      <c r="F7" s="10" t="s">
        <v>155</v>
      </c>
      <c r="G7" s="10" t="n">
        <v>-0.0133</v>
      </c>
      <c r="I7" s="10" t="n">
        <v>-0.0312</v>
      </c>
      <c r="J7" s="10" t="s">
        <v>157</v>
      </c>
      <c r="K7" s="10" t="n">
        <v>1</v>
      </c>
    </row>
    <row r="8" customFormat="false" ht="14.65" hidden="false" customHeight="false" outlineLevel="0" collapsed="false">
      <c r="B8" s="10" t="s">
        <v>159</v>
      </c>
      <c r="C8" s="10" t="n">
        <v>-0.0756</v>
      </c>
      <c r="D8" s="10" t="s">
        <v>155</v>
      </c>
      <c r="E8" s="10" t="n">
        <v>-0.1811</v>
      </c>
      <c r="F8" s="10" t="s">
        <v>155</v>
      </c>
      <c r="G8" s="10" t="n">
        <v>-0.0298</v>
      </c>
      <c r="H8" s="10" t="s">
        <v>157</v>
      </c>
      <c r="I8" s="10" t="n">
        <v>-0.0587</v>
      </c>
      <c r="J8" s="10" t="s">
        <v>155</v>
      </c>
      <c r="K8" s="10" t="n">
        <v>-0.0414</v>
      </c>
      <c r="L8" s="10" t="s">
        <v>155</v>
      </c>
      <c r="M8" s="10" t="n">
        <v>1</v>
      </c>
    </row>
    <row r="9" customFormat="false" ht="14.65" hidden="false" customHeight="false" outlineLevel="0" collapsed="false">
      <c r="B9" s="10" t="s">
        <v>160</v>
      </c>
      <c r="C9" s="10" t="n">
        <v>0.014</v>
      </c>
      <c r="E9" s="10" t="n">
        <v>-0.059</v>
      </c>
      <c r="F9" s="10" t="s">
        <v>155</v>
      </c>
      <c r="G9" s="10" t="n">
        <v>-0.0083</v>
      </c>
      <c r="I9" s="10" t="n">
        <v>-0.0025</v>
      </c>
      <c r="K9" s="10" t="n">
        <v>-0.0055</v>
      </c>
      <c r="M9" s="10" t="n">
        <v>-0.0175</v>
      </c>
      <c r="O9" s="10" t="n">
        <v>1</v>
      </c>
    </row>
    <row r="10" customFormat="false" ht="14.65" hidden="false" customHeight="false" outlineLevel="0" collapsed="false">
      <c r="B10" s="10" t="s">
        <v>161</v>
      </c>
      <c r="C10" s="10" t="n">
        <v>-0.0288</v>
      </c>
      <c r="D10" s="10" t="s">
        <v>157</v>
      </c>
      <c r="E10" s="10" t="n">
        <v>-0.0344</v>
      </c>
      <c r="F10" s="10" t="s">
        <v>155</v>
      </c>
      <c r="G10" s="10" t="n">
        <v>-0.0045</v>
      </c>
      <c r="I10" s="10" t="n">
        <v>-0.0138</v>
      </c>
      <c r="K10" s="10" t="n">
        <v>-0.0103</v>
      </c>
      <c r="M10" s="10" t="n">
        <v>-0.0096</v>
      </c>
      <c r="O10" s="10" t="n">
        <v>-0.004</v>
      </c>
      <c r="Q10" s="10" t="n">
        <v>1</v>
      </c>
    </row>
    <row r="11" customFormat="false" ht="14.65" hidden="false" customHeight="false" outlineLevel="0" collapsed="false">
      <c r="B11" s="10" t="s">
        <v>162</v>
      </c>
      <c r="C11" s="10" t="n">
        <v>-0.0873</v>
      </c>
      <c r="D11" s="10" t="s">
        <v>155</v>
      </c>
      <c r="E11" s="10" t="n">
        <v>-0.2011</v>
      </c>
      <c r="F11" s="10" t="s">
        <v>155</v>
      </c>
      <c r="G11" s="10" t="n">
        <v>-0.0349</v>
      </c>
      <c r="H11" s="10" t="s">
        <v>155</v>
      </c>
      <c r="I11" s="10" t="n">
        <v>-0.0194</v>
      </c>
      <c r="K11" s="10" t="n">
        <v>-0.0462</v>
      </c>
      <c r="L11" s="10" t="s">
        <v>155</v>
      </c>
      <c r="M11" s="10" t="n">
        <v>-0.0156</v>
      </c>
      <c r="O11" s="10" t="n">
        <v>-0.0181</v>
      </c>
      <c r="Q11" s="10" t="n">
        <v>-0.011</v>
      </c>
      <c r="S11" s="10" t="n">
        <v>1</v>
      </c>
    </row>
    <row r="12" customFormat="false" ht="14.65" hidden="false" customHeight="false" outlineLevel="0" collapsed="false">
      <c r="B12" s="10" t="s">
        <v>163</v>
      </c>
      <c r="C12" s="10" t="n">
        <v>-0.0005</v>
      </c>
      <c r="E12" s="10" t="n">
        <v>-0.034</v>
      </c>
      <c r="F12" s="10" t="s">
        <v>157</v>
      </c>
      <c r="G12" s="10" t="n">
        <v>-0.0054</v>
      </c>
      <c r="I12" s="10" t="n">
        <v>-0.0122</v>
      </c>
      <c r="K12" s="10" t="n">
        <v>-0.0123</v>
      </c>
      <c r="M12" s="10" t="n">
        <v>-0.0115</v>
      </c>
      <c r="O12" s="10" t="n">
        <v>-0.0048</v>
      </c>
      <c r="Q12" s="10" t="n">
        <v>-0.0016</v>
      </c>
      <c r="S12" s="10" t="n">
        <v>-0.0061</v>
      </c>
      <c r="U12" s="10" t="n">
        <v>1</v>
      </c>
    </row>
    <row r="13" customFormat="false" ht="14.65" hidden="false" customHeight="false" outlineLevel="0" collapsed="false">
      <c r="B13" s="10" t="s">
        <v>164</v>
      </c>
      <c r="C13" s="10" t="n">
        <v>-0.1543</v>
      </c>
      <c r="D13" s="10" t="s">
        <v>155</v>
      </c>
      <c r="E13" s="10" t="n">
        <v>-0.1763</v>
      </c>
      <c r="F13" s="10" t="s">
        <v>155</v>
      </c>
      <c r="G13" s="10" t="n">
        <v>-0.0042</v>
      </c>
      <c r="I13" s="10" t="n">
        <v>-0.0355</v>
      </c>
      <c r="J13" s="10" t="s">
        <v>155</v>
      </c>
      <c r="K13" s="10" t="n">
        <v>-0.0325</v>
      </c>
      <c r="L13" s="10" t="s">
        <v>157</v>
      </c>
      <c r="M13" s="10" t="n">
        <v>-0.0327</v>
      </c>
      <c r="N13" s="10" t="s">
        <v>157</v>
      </c>
      <c r="O13" s="10" t="n">
        <v>-0.0028</v>
      </c>
      <c r="Q13" s="10" t="n">
        <v>0.0015</v>
      </c>
      <c r="S13" s="10" t="n">
        <v>-0.0502</v>
      </c>
      <c r="T13" s="10" t="s">
        <v>155</v>
      </c>
      <c r="U13" s="10" t="n">
        <v>0.0105</v>
      </c>
      <c r="W13" s="10" t="n">
        <v>1</v>
      </c>
    </row>
    <row r="14" customFormat="false" ht="14.65" hidden="false" customHeight="false" outlineLevel="0" collapsed="false">
      <c r="B14" s="10" t="s">
        <v>78</v>
      </c>
      <c r="C14" s="10" t="n">
        <v>-0.0276</v>
      </c>
      <c r="D14" s="10" t="s">
        <v>157</v>
      </c>
      <c r="E14" s="10" t="n">
        <v>-0.0478</v>
      </c>
      <c r="F14" s="10" t="s">
        <v>155</v>
      </c>
      <c r="G14" s="10" t="n">
        <v>-0.008</v>
      </c>
      <c r="I14" s="10" t="n">
        <v>-0.0107</v>
      </c>
      <c r="K14" s="10" t="n">
        <v>0.006</v>
      </c>
      <c r="M14" s="10" t="n">
        <v>-0.0075</v>
      </c>
      <c r="O14" s="10" t="n">
        <v>-0.007</v>
      </c>
      <c r="Q14" s="10" t="n">
        <v>-0.0023</v>
      </c>
      <c r="S14" s="10" t="n">
        <v>-0.0173</v>
      </c>
      <c r="U14" s="10" t="n">
        <v>-0.0028</v>
      </c>
      <c r="W14" s="10" t="n">
        <v>-0.0043</v>
      </c>
      <c r="Y14" s="10" t="n">
        <v>1</v>
      </c>
    </row>
    <row r="15" customFormat="false" ht="14.65" hidden="false" customHeight="false" outlineLevel="0" collapsed="false">
      <c r="C15" s="10" t="s">
        <v>75</v>
      </c>
      <c r="E15" s="10" t="s">
        <v>76</v>
      </c>
      <c r="G15" s="10" t="s">
        <v>156</v>
      </c>
      <c r="I15" s="10" t="s">
        <v>77</v>
      </c>
      <c r="K15" s="10" t="s">
        <v>158</v>
      </c>
      <c r="M15" s="10" t="s">
        <v>159</v>
      </c>
      <c r="O15" s="10" t="s">
        <v>160</v>
      </c>
      <c r="Q15" s="10" t="s">
        <v>161</v>
      </c>
      <c r="S15" s="10" t="s">
        <v>165</v>
      </c>
      <c r="U15" s="10" t="s">
        <v>163</v>
      </c>
      <c r="W15" s="10" t="s">
        <v>166</v>
      </c>
      <c r="Y15" s="10" t="s">
        <v>78</v>
      </c>
    </row>
    <row r="16" customFormat="false" ht="14.65" hidden="false" customHeight="false" outlineLevel="0" collapsed="false">
      <c r="C16" s="10" t="s">
        <v>167</v>
      </c>
    </row>
    <row r="18" customFormat="false" ht="14.65" hidden="false" customHeight="false" outlineLevel="0" collapsed="false">
      <c r="A18" s="10" t="s">
        <v>79</v>
      </c>
      <c r="B18" s="10" t="s">
        <v>75</v>
      </c>
      <c r="C18" s="10" t="n">
        <v>-0.1723</v>
      </c>
      <c r="D18" s="10" t="s">
        <v>155</v>
      </c>
      <c r="E18" s="10" t="n">
        <v>-0.0564</v>
      </c>
      <c r="F18" s="10" t="s">
        <v>155</v>
      </c>
      <c r="G18" s="10" t="n">
        <v>0.0138</v>
      </c>
      <c r="I18" s="10" t="n">
        <v>-0.0386</v>
      </c>
      <c r="J18" s="10" t="s">
        <v>155</v>
      </c>
      <c r="K18" s="10" t="n">
        <v>0.0265</v>
      </c>
      <c r="L18" s="10" t="s">
        <v>157</v>
      </c>
      <c r="M18" s="10" t="n">
        <v>-0.0106</v>
      </c>
      <c r="O18" s="10" t="n">
        <v>-0.0052</v>
      </c>
      <c r="Q18" s="10" t="n">
        <v>0.0304</v>
      </c>
      <c r="R18" s="10" t="s">
        <v>157</v>
      </c>
      <c r="S18" s="10" t="n">
        <v>0.021</v>
      </c>
      <c r="U18" s="10" t="n">
        <v>0.0151</v>
      </c>
      <c r="W18" s="10" t="n">
        <v>0.0717</v>
      </c>
      <c r="X18" s="10" t="s">
        <v>155</v>
      </c>
      <c r="Y18" s="10" t="n">
        <v>0.0141</v>
      </c>
      <c r="AB18" s="10" t="s">
        <v>79</v>
      </c>
      <c r="AC18" s="10" t="s">
        <v>75</v>
      </c>
      <c r="AD18" s="10" t="n">
        <v>1</v>
      </c>
    </row>
    <row r="19" customFormat="false" ht="14.65" hidden="false" customHeight="false" outlineLevel="0" collapsed="false">
      <c r="A19" s="10" t="s">
        <v>154</v>
      </c>
      <c r="B19" s="10" t="s">
        <v>76</v>
      </c>
      <c r="C19" s="10" t="n">
        <v>-0.5135</v>
      </c>
      <c r="D19" s="10" t="s">
        <v>155</v>
      </c>
      <c r="E19" s="10" t="n">
        <v>0.5974</v>
      </c>
      <c r="F19" s="10" t="s">
        <v>155</v>
      </c>
      <c r="G19" s="10" t="n">
        <v>0.0049</v>
      </c>
      <c r="I19" s="10" t="n">
        <v>-0.1493</v>
      </c>
      <c r="J19" s="10" t="s">
        <v>155</v>
      </c>
      <c r="K19" s="10" t="n">
        <v>-0.0566</v>
      </c>
      <c r="L19" s="10" t="s">
        <v>155</v>
      </c>
      <c r="M19" s="10" t="n">
        <v>-0.1197</v>
      </c>
      <c r="N19" s="10" t="s">
        <v>155</v>
      </c>
      <c r="O19" s="10" t="n">
        <v>-0.0293</v>
      </c>
      <c r="P19" s="10" t="s">
        <v>157</v>
      </c>
      <c r="Q19" s="10" t="n">
        <v>-0.024</v>
      </c>
      <c r="S19" s="10" t="n">
        <v>-0.1413</v>
      </c>
      <c r="T19" s="10" t="s">
        <v>155</v>
      </c>
      <c r="U19" s="10" t="n">
        <v>-0.0263</v>
      </c>
      <c r="V19" s="10" t="s">
        <v>157</v>
      </c>
      <c r="W19" s="10" t="n">
        <v>-0.1096</v>
      </c>
      <c r="X19" s="10" t="s">
        <v>155</v>
      </c>
      <c r="Y19" s="10" t="n">
        <v>-0.0339</v>
      </c>
      <c r="Z19" s="10" t="s">
        <v>157</v>
      </c>
      <c r="AB19" s="10" t="s">
        <v>154</v>
      </c>
      <c r="AC19" s="10" t="s">
        <v>76</v>
      </c>
      <c r="AD19" s="10" t="n">
        <v>0.1315</v>
      </c>
      <c r="AE19" s="10" t="s">
        <v>155</v>
      </c>
      <c r="AF19" s="10" t="n">
        <v>1</v>
      </c>
    </row>
    <row r="20" customFormat="false" ht="14.65" hidden="false" customHeight="false" outlineLevel="0" collapsed="false">
      <c r="B20" s="10" t="s">
        <v>156</v>
      </c>
      <c r="C20" s="10" t="n">
        <v>-0.0658</v>
      </c>
      <c r="D20" s="10" t="s">
        <v>155</v>
      </c>
      <c r="E20" s="10" t="n">
        <v>-0.0393</v>
      </c>
      <c r="F20" s="10" t="s">
        <v>155</v>
      </c>
      <c r="G20" s="10" t="n">
        <v>0.4029</v>
      </c>
      <c r="H20" s="10" t="s">
        <v>155</v>
      </c>
      <c r="I20" s="10" t="n">
        <v>-0.0227</v>
      </c>
      <c r="K20" s="10" t="n">
        <v>-0.0055</v>
      </c>
      <c r="M20" s="10" t="n">
        <v>-0.0196</v>
      </c>
      <c r="O20" s="10" t="n">
        <v>-0.0055</v>
      </c>
      <c r="Q20" s="10" t="n">
        <v>-0.0032</v>
      </c>
      <c r="S20" s="10" t="n">
        <v>-0.0204</v>
      </c>
      <c r="U20" s="10" t="n">
        <v>-0.0038</v>
      </c>
      <c r="W20" s="10" t="n">
        <v>-0.0013</v>
      </c>
      <c r="Y20" s="10" t="n">
        <v>-0.0056</v>
      </c>
      <c r="AC20" s="10" t="s">
        <v>156</v>
      </c>
      <c r="AD20" s="10" t="n">
        <v>0.0406</v>
      </c>
      <c r="AE20" s="10" t="s">
        <v>155</v>
      </c>
      <c r="AF20" s="10" t="n">
        <v>0.0159</v>
      </c>
      <c r="AH20" s="10" t="n">
        <v>1</v>
      </c>
    </row>
    <row r="21" customFormat="false" ht="14.65" hidden="false" customHeight="false" outlineLevel="0" collapsed="false">
      <c r="B21" s="10" t="s">
        <v>77</v>
      </c>
      <c r="C21" s="10" t="n">
        <v>0.0652</v>
      </c>
      <c r="D21" s="10" t="s">
        <v>155</v>
      </c>
      <c r="E21" s="10" t="n">
        <v>-0.1721</v>
      </c>
      <c r="F21" s="10" t="s">
        <v>155</v>
      </c>
      <c r="G21" s="10" t="n">
        <v>-0.0162</v>
      </c>
      <c r="I21" s="10" t="n">
        <v>0.5023</v>
      </c>
      <c r="J21" s="10" t="s">
        <v>155</v>
      </c>
      <c r="K21" s="10" t="n">
        <v>-0.0106</v>
      </c>
      <c r="M21" s="10" t="n">
        <v>-0.0479</v>
      </c>
      <c r="N21" s="10" t="s">
        <v>155</v>
      </c>
      <c r="O21" s="10" t="n">
        <v>-0.0096</v>
      </c>
      <c r="Q21" s="10" t="n">
        <v>-0.0147</v>
      </c>
      <c r="S21" s="10" t="n">
        <v>-0.0148</v>
      </c>
      <c r="U21" s="10" t="n">
        <v>-0.0129</v>
      </c>
      <c r="W21" s="10" t="n">
        <v>-0.0254</v>
      </c>
      <c r="Y21" s="10" t="n">
        <v>-0.0088</v>
      </c>
      <c r="AC21" s="10" t="s">
        <v>77</v>
      </c>
      <c r="AD21" s="10" t="n">
        <v>0.0078</v>
      </c>
      <c r="AF21" s="10" t="n">
        <v>-0.09</v>
      </c>
      <c r="AG21" s="10" t="s">
        <v>155</v>
      </c>
      <c r="AH21" s="10" t="n">
        <v>-0.0173</v>
      </c>
      <c r="AJ21" s="10" t="n">
        <v>1</v>
      </c>
    </row>
    <row r="22" customFormat="false" ht="14.65" hidden="false" customHeight="false" outlineLevel="0" collapsed="false">
      <c r="B22" s="10" t="s">
        <v>158</v>
      </c>
      <c r="C22" s="10" t="n">
        <v>-0.049</v>
      </c>
      <c r="D22" s="10" t="s">
        <v>155</v>
      </c>
      <c r="E22" s="10" t="n">
        <v>-0.1429</v>
      </c>
      <c r="F22" s="10" t="s">
        <v>155</v>
      </c>
      <c r="G22" s="10" t="n">
        <v>-0.0025</v>
      </c>
      <c r="I22" s="10" t="n">
        <v>-0.025</v>
      </c>
      <c r="K22" s="10" t="n">
        <v>0.4726</v>
      </c>
      <c r="L22" s="10" t="s">
        <v>155</v>
      </c>
      <c r="M22" s="10" t="n">
        <v>-0.0397</v>
      </c>
      <c r="N22" s="10" t="s">
        <v>155</v>
      </c>
      <c r="O22" s="10" t="n">
        <v>-0.0058</v>
      </c>
      <c r="Q22" s="10" t="n">
        <v>0.0049</v>
      </c>
      <c r="S22" s="10" t="n">
        <v>-0.0279</v>
      </c>
      <c r="T22" s="10" t="s">
        <v>157</v>
      </c>
      <c r="U22" s="10" t="n">
        <v>-0.0085</v>
      </c>
      <c r="W22" s="10" t="n">
        <v>-0.0036</v>
      </c>
      <c r="Y22" s="10" t="n">
        <v>-0.0058</v>
      </c>
      <c r="AC22" s="10" t="s">
        <v>158</v>
      </c>
      <c r="AD22" s="10" t="n">
        <v>0.1179</v>
      </c>
      <c r="AE22" s="10" t="s">
        <v>155</v>
      </c>
      <c r="AF22" s="10" t="n">
        <v>-0.0746</v>
      </c>
      <c r="AG22" s="10" t="s">
        <v>155</v>
      </c>
      <c r="AH22" s="10" t="n">
        <v>0.0008</v>
      </c>
      <c r="AJ22" s="10" t="n">
        <v>0.031</v>
      </c>
      <c r="AK22" s="10" t="s">
        <v>157</v>
      </c>
      <c r="AL22" s="10" t="n">
        <v>1</v>
      </c>
    </row>
    <row r="23" customFormat="false" ht="14.65" hidden="false" customHeight="false" outlineLevel="0" collapsed="false">
      <c r="B23" s="10" t="s">
        <v>159</v>
      </c>
      <c r="C23" s="10" t="n">
        <v>-0.042</v>
      </c>
      <c r="D23" s="10" t="s">
        <v>155</v>
      </c>
      <c r="E23" s="10" t="n">
        <v>-0.1544</v>
      </c>
      <c r="F23" s="10" t="s">
        <v>155</v>
      </c>
      <c r="G23" s="10" t="n">
        <v>-0.0281</v>
      </c>
      <c r="H23" s="10" t="s">
        <v>157</v>
      </c>
      <c r="I23" s="10" t="n">
        <v>-0.0499</v>
      </c>
      <c r="J23" s="10" t="s">
        <v>155</v>
      </c>
      <c r="K23" s="10" t="n">
        <v>-0.0342</v>
      </c>
      <c r="L23" s="10" t="s">
        <v>157</v>
      </c>
      <c r="M23" s="10" t="n">
        <v>0.6989</v>
      </c>
      <c r="N23" s="10" t="s">
        <v>155</v>
      </c>
      <c r="O23" s="10" t="n">
        <v>-0.0113</v>
      </c>
      <c r="Q23" s="10" t="n">
        <v>-0.0095</v>
      </c>
      <c r="S23" s="10" t="n">
        <v>0.0048</v>
      </c>
      <c r="U23" s="10" t="n">
        <v>-0.0114</v>
      </c>
      <c r="W23" s="10" t="n">
        <v>-0.0289</v>
      </c>
      <c r="X23" s="10" t="s">
        <v>157</v>
      </c>
      <c r="Y23" s="10" t="n">
        <v>-0.0039</v>
      </c>
      <c r="AC23" s="10" t="s">
        <v>159</v>
      </c>
      <c r="AD23" s="10" t="n">
        <v>0.0408</v>
      </c>
      <c r="AE23" s="10" t="s">
        <v>155</v>
      </c>
      <c r="AF23" s="10" t="n">
        <v>-0.0982</v>
      </c>
      <c r="AG23" s="10" t="s">
        <v>155</v>
      </c>
      <c r="AH23" s="10" t="n">
        <v>-0.0176</v>
      </c>
      <c r="AJ23" s="10" t="n">
        <v>-0.031</v>
      </c>
      <c r="AK23" s="10" t="s">
        <v>157</v>
      </c>
      <c r="AL23" s="10" t="n">
        <v>-0.026</v>
      </c>
      <c r="AM23" s="10" t="s">
        <v>157</v>
      </c>
      <c r="AN23" s="10" t="n">
        <v>1</v>
      </c>
    </row>
    <row r="24" customFormat="false" ht="14.65" hidden="false" customHeight="false" outlineLevel="0" collapsed="false">
      <c r="B24" s="10" t="s">
        <v>160</v>
      </c>
      <c r="C24" s="10" t="n">
        <v>0.0204</v>
      </c>
      <c r="E24" s="10" t="n">
        <v>-0.0541</v>
      </c>
      <c r="F24" s="10" t="s">
        <v>155</v>
      </c>
      <c r="G24" s="10" t="n">
        <v>-0.0076</v>
      </c>
      <c r="I24" s="10" t="n">
        <v>-0.0004</v>
      </c>
      <c r="K24" s="10" t="n">
        <v>0.0006</v>
      </c>
      <c r="M24" s="10" t="n">
        <v>-0.0145</v>
      </c>
      <c r="O24" s="10" t="n">
        <v>0.6996</v>
      </c>
      <c r="P24" s="10" t="s">
        <v>155</v>
      </c>
      <c r="Q24" s="10" t="n">
        <v>-0.0045</v>
      </c>
      <c r="S24" s="10" t="n">
        <v>-0.021</v>
      </c>
      <c r="U24" s="10" t="n">
        <v>-0.0053</v>
      </c>
      <c r="W24" s="10" t="n">
        <v>-0.0089</v>
      </c>
      <c r="Y24" s="10" t="n">
        <v>-0.0078</v>
      </c>
      <c r="AC24" s="10" t="s">
        <v>160</v>
      </c>
      <c r="AD24" s="10" t="n">
        <v>0.0034</v>
      </c>
      <c r="AF24" s="10" t="n">
        <v>-0.02</v>
      </c>
      <c r="AH24" s="10" t="n">
        <v>-0.0049</v>
      </c>
      <c r="AJ24" s="10" t="n">
        <v>0.0068</v>
      </c>
      <c r="AL24" s="10" t="n">
        <v>0.0085</v>
      </c>
      <c r="AN24" s="10" t="n">
        <v>-0.008</v>
      </c>
      <c r="AP24" s="10" t="n">
        <v>1</v>
      </c>
    </row>
    <row r="25" customFormat="false" ht="14.65" hidden="false" customHeight="false" outlineLevel="0" collapsed="false">
      <c r="B25" s="10" t="s">
        <v>161</v>
      </c>
      <c r="C25" s="10" t="n">
        <v>-0.0302</v>
      </c>
      <c r="D25" s="10" t="s">
        <v>157</v>
      </c>
      <c r="E25" s="10" t="n">
        <v>-0.0368</v>
      </c>
      <c r="F25" s="10" t="s">
        <v>155</v>
      </c>
      <c r="G25" s="10" t="n">
        <v>-0.0049</v>
      </c>
      <c r="I25" s="10" t="n">
        <v>-0.0148</v>
      </c>
      <c r="K25" s="10" t="n">
        <v>-0.0108</v>
      </c>
      <c r="M25" s="10" t="n">
        <v>-0.0103</v>
      </c>
      <c r="O25" s="10" t="n">
        <v>-0.0043</v>
      </c>
      <c r="Q25" s="10" t="n">
        <v>0.4236</v>
      </c>
      <c r="R25" s="10" t="s">
        <v>155</v>
      </c>
      <c r="S25" s="10" t="n">
        <v>-0.0095</v>
      </c>
      <c r="U25" s="10" t="n">
        <v>-0.0017</v>
      </c>
      <c r="W25" s="10" t="n">
        <v>0.0034</v>
      </c>
      <c r="Y25" s="10" t="n">
        <v>-0.0025</v>
      </c>
      <c r="AC25" s="10" t="s">
        <v>161</v>
      </c>
      <c r="AD25" s="10" t="n">
        <v>0.0928</v>
      </c>
      <c r="AE25" s="10" t="s">
        <v>155</v>
      </c>
      <c r="AF25" s="10" t="n">
        <v>-0.0256</v>
      </c>
      <c r="AH25" s="10" t="n">
        <v>-0.0034</v>
      </c>
      <c r="AJ25" s="10" t="n">
        <v>-0.0157</v>
      </c>
      <c r="AL25" s="10" t="n">
        <v>0.0544</v>
      </c>
      <c r="AM25" s="10" t="s">
        <v>155</v>
      </c>
      <c r="AN25" s="10" t="n">
        <v>-0.0102</v>
      </c>
      <c r="AP25" s="10" t="n">
        <v>-0.0048</v>
      </c>
      <c r="AR25" s="10" t="n">
        <v>1</v>
      </c>
    </row>
    <row r="26" customFormat="false" ht="14.65" hidden="false" customHeight="false" outlineLevel="0" collapsed="false">
      <c r="B26" s="10" t="s">
        <v>162</v>
      </c>
      <c r="C26" s="10" t="n">
        <v>-0.0578</v>
      </c>
      <c r="D26" s="10" t="s">
        <v>155</v>
      </c>
      <c r="E26" s="10" t="n">
        <v>-0.1699</v>
      </c>
      <c r="F26" s="10" t="s">
        <v>155</v>
      </c>
      <c r="G26" s="10" t="n">
        <v>-0.0265</v>
      </c>
      <c r="H26" s="10" t="s">
        <v>157</v>
      </c>
      <c r="I26" s="10" t="n">
        <v>0.0092</v>
      </c>
      <c r="K26" s="10" t="n">
        <v>-0.02</v>
      </c>
      <c r="M26" s="10" t="n">
        <v>-0.021</v>
      </c>
      <c r="O26" s="10" t="n">
        <v>-0.0174</v>
      </c>
      <c r="Q26" s="10" t="n">
        <v>-0.0042</v>
      </c>
      <c r="S26" s="10" t="n">
        <v>0.6051</v>
      </c>
      <c r="T26" s="10" t="s">
        <v>155</v>
      </c>
      <c r="U26" s="10" t="n">
        <v>-0.0046</v>
      </c>
      <c r="W26" s="10" t="n">
        <v>-0.0232</v>
      </c>
      <c r="Y26" s="10" t="n">
        <v>-0.008</v>
      </c>
      <c r="AC26" s="10" t="s">
        <v>162</v>
      </c>
      <c r="AD26" s="10" t="n">
        <v>0.1176</v>
      </c>
      <c r="AE26" s="10" t="s">
        <v>155</v>
      </c>
      <c r="AF26" s="10" t="n">
        <v>-0.107</v>
      </c>
      <c r="AG26" s="10" t="s">
        <v>155</v>
      </c>
      <c r="AH26" s="10" t="n">
        <v>-0.0065</v>
      </c>
      <c r="AJ26" s="10" t="n">
        <v>0.0159</v>
      </c>
      <c r="AL26" s="10" t="n">
        <v>-0.0023</v>
      </c>
      <c r="AN26" s="10" t="n">
        <v>-0.0137</v>
      </c>
      <c r="AP26" s="10" t="n">
        <v>-0.0213</v>
      </c>
      <c r="AR26" s="10" t="n">
        <v>0.0253</v>
      </c>
      <c r="AT26" s="10" t="n">
        <v>1</v>
      </c>
    </row>
    <row r="27" customFormat="false" ht="14.65" hidden="false" customHeight="false" outlineLevel="0" collapsed="false">
      <c r="B27" s="10" t="s">
        <v>163</v>
      </c>
      <c r="C27" s="10" t="n">
        <v>0.0004</v>
      </c>
      <c r="E27" s="10" t="n">
        <v>-0.037</v>
      </c>
      <c r="F27" s="10" t="s">
        <v>155</v>
      </c>
      <c r="G27" s="10" t="n">
        <v>-0.0057</v>
      </c>
      <c r="I27" s="10" t="n">
        <v>-0.0114</v>
      </c>
      <c r="K27" s="10" t="n">
        <v>-0.0109</v>
      </c>
      <c r="M27" s="10" t="n">
        <v>0.0164</v>
      </c>
      <c r="O27" s="10" t="n">
        <v>-0.005</v>
      </c>
      <c r="Q27" s="10" t="n">
        <v>-0.0017</v>
      </c>
      <c r="S27" s="10" t="n">
        <v>-0.0104</v>
      </c>
      <c r="U27" s="10" t="n">
        <v>0.4436</v>
      </c>
      <c r="V27" s="10" t="s">
        <v>155</v>
      </c>
      <c r="W27" s="10" t="n">
        <v>-0.0039</v>
      </c>
      <c r="Y27" s="10" t="n">
        <v>-0.0021</v>
      </c>
      <c r="AC27" s="10" t="s">
        <v>163</v>
      </c>
      <c r="AD27" s="10" t="n">
        <v>0.0704</v>
      </c>
      <c r="AE27" s="10" t="s">
        <v>155</v>
      </c>
      <c r="AF27" s="10" t="n">
        <v>-0.0273</v>
      </c>
      <c r="AG27" s="10" t="s">
        <v>157</v>
      </c>
      <c r="AH27" s="10" t="n">
        <v>-0.004</v>
      </c>
      <c r="AJ27" s="10" t="n">
        <v>-0.0105</v>
      </c>
      <c r="AL27" s="10" t="n">
        <v>-0.0097</v>
      </c>
      <c r="AN27" s="10" t="n">
        <v>-0.0009</v>
      </c>
      <c r="AP27" s="10" t="n">
        <v>-0.0056</v>
      </c>
      <c r="AR27" s="10" t="n">
        <v>-0.0018</v>
      </c>
      <c r="AT27" s="10" t="n">
        <v>-0.0071</v>
      </c>
      <c r="AV27" s="10" t="n">
        <v>1</v>
      </c>
    </row>
    <row r="28" customFormat="false" ht="14.65" hidden="false" customHeight="false" outlineLevel="0" collapsed="false">
      <c r="B28" s="10" t="s">
        <v>168</v>
      </c>
      <c r="C28" s="10" t="n">
        <v>-0.0963</v>
      </c>
      <c r="D28" s="10" t="s">
        <v>155</v>
      </c>
      <c r="E28" s="10" t="n">
        <v>-0.1521</v>
      </c>
      <c r="F28" s="10" t="s">
        <v>155</v>
      </c>
      <c r="G28" s="10" t="n">
        <v>-0.0053</v>
      </c>
      <c r="I28" s="10" t="n">
        <v>-0.0122</v>
      </c>
      <c r="K28" s="10" t="n">
        <v>-0.0299</v>
      </c>
      <c r="L28" s="10" t="s">
        <v>157</v>
      </c>
      <c r="M28" s="10" t="n">
        <v>-0.0315</v>
      </c>
      <c r="N28" s="10" t="s">
        <v>157</v>
      </c>
      <c r="O28" s="10" t="n">
        <v>-0.0012</v>
      </c>
      <c r="Q28" s="10" t="n">
        <v>0.0012</v>
      </c>
      <c r="S28" s="10" t="n">
        <v>-0.0424</v>
      </c>
      <c r="T28" s="10" t="s">
        <v>155</v>
      </c>
      <c r="U28" s="10" t="n">
        <v>0.0034</v>
      </c>
      <c r="W28" s="10" t="n">
        <v>0.6114</v>
      </c>
      <c r="X28" s="10" t="s">
        <v>155</v>
      </c>
      <c r="Y28" s="10" t="n">
        <v>-0.0072</v>
      </c>
      <c r="AC28" s="10" t="s">
        <v>168</v>
      </c>
      <c r="AD28" s="10" t="n">
        <v>0.1444</v>
      </c>
      <c r="AE28" s="10" t="s">
        <v>155</v>
      </c>
      <c r="AF28" s="10" t="n">
        <v>-0.0925</v>
      </c>
      <c r="AG28" s="10" t="s">
        <v>155</v>
      </c>
      <c r="AH28" s="10" t="n">
        <v>0.0062</v>
      </c>
      <c r="AJ28" s="10" t="n">
        <v>0.0181</v>
      </c>
      <c r="AL28" s="10" t="n">
        <v>0.017</v>
      </c>
      <c r="AN28" s="10" t="n">
        <v>-0.0288</v>
      </c>
      <c r="AO28" s="10" t="s">
        <v>157</v>
      </c>
      <c r="AP28" s="10" t="n">
        <v>-0.009</v>
      </c>
      <c r="AR28" s="10" t="n">
        <v>-0.0015</v>
      </c>
      <c r="AT28" s="10" t="n">
        <v>0.0007</v>
      </c>
      <c r="AV28" s="10" t="n">
        <v>0.0165</v>
      </c>
      <c r="AX28" s="10" t="n">
        <v>1</v>
      </c>
    </row>
    <row r="29" customFormat="false" ht="14.65" hidden="false" customHeight="false" outlineLevel="0" collapsed="false">
      <c r="B29" s="10" t="s">
        <v>78</v>
      </c>
      <c r="C29" s="10" t="n">
        <v>-0.019</v>
      </c>
      <c r="E29" s="10" t="n">
        <v>-0.0457</v>
      </c>
      <c r="F29" s="10" t="s">
        <v>155</v>
      </c>
      <c r="G29" s="10" t="n">
        <v>-0.0086</v>
      </c>
      <c r="I29" s="10" t="n">
        <v>-0.0084</v>
      </c>
      <c r="K29" s="10" t="n">
        <v>0.0065</v>
      </c>
      <c r="M29" s="10" t="n">
        <v>-0.0034</v>
      </c>
      <c r="O29" s="10" t="n">
        <v>-0.0075</v>
      </c>
      <c r="Q29" s="10" t="n">
        <v>-0.0025</v>
      </c>
      <c r="S29" s="10" t="n">
        <v>-0.0163</v>
      </c>
      <c r="U29" s="10" t="n">
        <v>0.0002</v>
      </c>
      <c r="W29" s="10" t="n">
        <v>0.0103</v>
      </c>
      <c r="Y29" s="10" t="n">
        <v>0.657</v>
      </c>
      <c r="Z29" s="10" t="s">
        <v>155</v>
      </c>
      <c r="AC29" s="10" t="s">
        <v>78</v>
      </c>
      <c r="AD29" s="10" t="n">
        <v>0.0426</v>
      </c>
      <c r="AE29" s="10" t="s">
        <v>155</v>
      </c>
      <c r="AF29" s="10" t="n">
        <v>-0.0285</v>
      </c>
      <c r="AG29" s="10" t="s">
        <v>157</v>
      </c>
      <c r="AH29" s="10" t="n">
        <v>-0.006</v>
      </c>
      <c r="AJ29" s="10" t="n">
        <v>-0.0063</v>
      </c>
      <c r="AL29" s="10" t="n">
        <v>-0.0041</v>
      </c>
      <c r="AN29" s="10" t="n">
        <v>-0.0017</v>
      </c>
      <c r="AP29" s="10" t="n">
        <v>-0.0084</v>
      </c>
      <c r="AR29" s="10" t="n">
        <v>-0.0027</v>
      </c>
      <c r="AT29" s="10" t="n">
        <v>-0.0033</v>
      </c>
      <c r="AV29" s="10" t="n">
        <v>0.022</v>
      </c>
      <c r="AX29" s="10" t="n">
        <v>0.0048</v>
      </c>
      <c r="AZ29" s="10" t="n">
        <v>1</v>
      </c>
    </row>
    <row r="30" customFormat="false" ht="14.65" hidden="false" customHeight="false" outlineLevel="0" collapsed="false">
      <c r="C30" s="10" t="s">
        <v>75</v>
      </c>
      <c r="E30" s="10" t="s">
        <v>76</v>
      </c>
      <c r="G30" s="10" t="s">
        <v>156</v>
      </c>
      <c r="I30" s="10" t="s">
        <v>77</v>
      </c>
      <c r="K30" s="10" t="s">
        <v>158</v>
      </c>
      <c r="M30" s="10" t="s">
        <v>159</v>
      </c>
      <c r="O30" s="10" t="s">
        <v>160</v>
      </c>
      <c r="Q30" s="10" t="s">
        <v>161</v>
      </c>
      <c r="S30" s="10" t="s">
        <v>165</v>
      </c>
      <c r="U30" s="10" t="s">
        <v>163</v>
      </c>
      <c r="W30" s="10" t="s">
        <v>166</v>
      </c>
      <c r="Y30" s="10" t="s">
        <v>78</v>
      </c>
      <c r="AD30" s="10" t="s">
        <v>75</v>
      </c>
      <c r="AF30" s="10" t="s">
        <v>76</v>
      </c>
      <c r="AH30" s="10" t="s">
        <v>156</v>
      </c>
      <c r="AJ30" s="10" t="s">
        <v>77</v>
      </c>
      <c r="AL30" s="10" t="s">
        <v>158</v>
      </c>
      <c r="AN30" s="10" t="s">
        <v>159</v>
      </c>
      <c r="AP30" s="10" t="s">
        <v>160</v>
      </c>
      <c r="AR30" s="10" t="s">
        <v>161</v>
      </c>
      <c r="AT30" s="10" t="s">
        <v>165</v>
      </c>
      <c r="AV30" s="10" t="s">
        <v>163</v>
      </c>
      <c r="AX30" s="10" t="s">
        <v>166</v>
      </c>
      <c r="AZ30" s="10" t="s">
        <v>78</v>
      </c>
    </row>
    <row r="31" customFormat="false" ht="14.65" hidden="false" customHeight="false" outlineLevel="0" collapsed="false">
      <c r="C31" s="10" t="s">
        <v>167</v>
      </c>
      <c r="AD31" s="10" t="s">
        <v>169</v>
      </c>
    </row>
    <row r="33" customFormat="false" ht="14.65" hidden="false" customHeight="false" outlineLevel="0" collapsed="false">
      <c r="C33" s="1"/>
      <c r="AD33" s="1"/>
    </row>
    <row r="34" customFormat="false" ht="14.65" hidden="false" customHeight="false" outlineLevel="0" collapsed="false">
      <c r="C34" s="10" t="s">
        <v>170</v>
      </c>
      <c r="E34" s="15" t="n">
        <v>8159</v>
      </c>
      <c r="G34" s="1"/>
      <c r="H34" s="1"/>
      <c r="I34" s="1"/>
      <c r="J34" s="1"/>
      <c r="K34" s="1"/>
    </row>
    <row r="35" customFormat="false" ht="14.65" hidden="false" customHeight="false" outlineLevel="0" collapsed="false">
      <c r="C35" s="10" t="s">
        <v>171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:H11 B5:H11"/>
    </sheetView>
  </sheetViews>
  <sheetFormatPr defaultColWidth="11.0546875" defaultRowHeight="14.65" customHeight="false" zeroHeight="false" outlineLevelRow="0" outlineLevelCol="0"/>
  <sheetData>
    <row r="5" customFormat="false" ht="14.65" hidden="false" customHeight="false" outlineLevel="0" collapsed="false">
      <c r="B5" s="1" t="s">
        <v>152</v>
      </c>
      <c r="D5" s="1" t="s">
        <v>2</v>
      </c>
      <c r="E5" s="1" t="s">
        <v>20</v>
      </c>
      <c r="F5" s="1" t="s">
        <v>21</v>
      </c>
      <c r="G5" s="1" t="s">
        <v>22</v>
      </c>
      <c r="H5" s="1" t="s">
        <v>23</v>
      </c>
    </row>
    <row r="7" customFormat="false" ht="14.65" hidden="false" customHeight="false" outlineLevel="0" collapsed="false">
      <c r="C7" s="1" t="s">
        <v>2</v>
      </c>
      <c r="D7" s="16" t="n">
        <v>1</v>
      </c>
      <c r="E7" s="16" t="s">
        <v>172</v>
      </c>
      <c r="F7" s="16" t="s">
        <v>173</v>
      </c>
      <c r="G7" s="16" t="s">
        <v>174</v>
      </c>
      <c r="H7" s="16" t="s">
        <v>175</v>
      </c>
    </row>
    <row r="8" customFormat="false" ht="14.65" hidden="false" customHeight="false" outlineLevel="0" collapsed="false">
      <c r="C8" s="1" t="s">
        <v>20</v>
      </c>
      <c r="D8" s="16" t="s">
        <v>172</v>
      </c>
      <c r="E8" s="16" t="n">
        <v>1</v>
      </c>
      <c r="F8" s="16" t="s">
        <v>176</v>
      </c>
      <c r="G8" s="16" t="s">
        <v>177</v>
      </c>
      <c r="H8" s="16" t="s">
        <v>178</v>
      </c>
    </row>
    <row r="9" customFormat="false" ht="14.65" hidden="false" customHeight="false" outlineLevel="0" collapsed="false">
      <c r="C9" s="1" t="s">
        <v>21</v>
      </c>
      <c r="D9" s="16" t="s">
        <v>173</v>
      </c>
      <c r="E9" s="16" t="s">
        <v>176</v>
      </c>
      <c r="F9" s="16" t="n">
        <v>1</v>
      </c>
      <c r="G9" s="16" t="s">
        <v>179</v>
      </c>
      <c r="H9" s="16" t="n">
        <v>0.0054</v>
      </c>
    </row>
    <row r="10" customFormat="false" ht="14.65" hidden="false" customHeight="false" outlineLevel="0" collapsed="false">
      <c r="C10" s="1" t="s">
        <v>22</v>
      </c>
      <c r="D10" s="16" t="s">
        <v>174</v>
      </c>
      <c r="E10" s="16" t="s">
        <v>177</v>
      </c>
      <c r="F10" s="16" t="s">
        <v>179</v>
      </c>
      <c r="G10" s="16" t="n">
        <v>1</v>
      </c>
      <c r="H10" s="16" t="s">
        <v>180</v>
      </c>
    </row>
    <row r="11" customFormat="false" ht="14.65" hidden="false" customHeight="false" outlineLevel="0" collapsed="false">
      <c r="C11" s="1" t="s">
        <v>23</v>
      </c>
      <c r="D11" s="16" t="s">
        <v>175</v>
      </c>
      <c r="E11" s="16" t="s">
        <v>178</v>
      </c>
      <c r="F11" s="16" t="n">
        <v>0.0054</v>
      </c>
      <c r="G11" s="16" t="s">
        <v>180</v>
      </c>
      <c r="H11" s="16" t="n">
        <v>1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38 A1:L38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1" width="14.99"/>
    <col collapsed="false" customWidth="true" hidden="false" outlineLevel="0" max="2" min="2" style="1" width="7.28"/>
    <col collapsed="false" customWidth="true" hidden="false" outlineLevel="0" max="3" min="3" style="1" width="8.71"/>
    <col collapsed="false" customWidth="true" hidden="false" outlineLevel="0" max="4" min="4" style="1" width="8.42"/>
    <col collapsed="false" customWidth="true" hidden="false" outlineLevel="0" max="5" min="5" style="1" width="8.85"/>
    <col collapsed="false" customWidth="true" hidden="false" outlineLevel="0" max="6" min="6" style="1" width="6.85"/>
    <col collapsed="false" customWidth="true" hidden="false" outlineLevel="0" max="7" min="7" style="1" width="6.99"/>
    <col collapsed="false" customWidth="true" hidden="false" outlineLevel="0" max="8" min="8" style="1" width="9.42"/>
    <col collapsed="false" customWidth="true" hidden="false" outlineLevel="0" max="9" min="9" style="1" width="8.71"/>
    <col collapsed="false" customWidth="true" hidden="false" outlineLevel="0" max="10" min="10" style="1" width="6.42"/>
  </cols>
  <sheetData>
    <row r="1" customFormat="false" ht="14.65" hidden="false" customHeight="false" outlineLevel="0" collapsed="false">
      <c r="A1" s="1" t="s">
        <v>181</v>
      </c>
    </row>
    <row r="4" customFormat="false" ht="19.35" hidden="false" customHeight="false" outlineLevel="0" collapsed="false">
      <c r="A4" s="4"/>
      <c r="B4" s="28"/>
      <c r="C4" s="4"/>
      <c r="D4" s="4"/>
      <c r="E4" s="29" t="s">
        <v>153</v>
      </c>
      <c r="F4" s="4"/>
      <c r="G4" s="4"/>
      <c r="H4" s="4"/>
      <c r="I4" s="4"/>
      <c r="J4" s="4"/>
    </row>
    <row r="5" customFormat="false" ht="14.65" hidden="false" customHeight="false" outlineLevel="0" collapsed="false">
      <c r="A5" s="30"/>
      <c r="B5" s="31"/>
      <c r="C5" s="30"/>
      <c r="D5" s="30"/>
      <c r="E5" s="30"/>
      <c r="F5" s="30"/>
      <c r="G5" s="30"/>
      <c r="H5" s="30" t="s">
        <v>182</v>
      </c>
      <c r="I5" s="30" t="s">
        <v>78</v>
      </c>
      <c r="J5" s="30"/>
    </row>
    <row r="6" customFormat="false" ht="14.65" hidden="false" customHeight="false" outlineLevel="0" collapsed="false">
      <c r="A6" s="30"/>
      <c r="B6" s="31" t="s">
        <v>75</v>
      </c>
      <c r="C6" s="30" t="s">
        <v>76</v>
      </c>
      <c r="D6" s="30" t="s">
        <v>183</v>
      </c>
      <c r="E6" s="30" t="s">
        <v>184</v>
      </c>
      <c r="F6" s="30" t="s">
        <v>185</v>
      </c>
      <c r="G6" s="30" t="s">
        <v>186</v>
      </c>
      <c r="H6" s="32" t="s">
        <v>187</v>
      </c>
      <c r="I6" s="32" t="s">
        <v>188</v>
      </c>
      <c r="J6" s="30" t="s">
        <v>142</v>
      </c>
    </row>
    <row r="7" customFormat="false" ht="14.65" hidden="false" customHeight="false" outlineLevel="0" collapsed="false">
      <c r="A7" s="5"/>
      <c r="B7" s="33"/>
      <c r="C7" s="5" t="s">
        <v>189</v>
      </c>
      <c r="D7" s="5"/>
      <c r="E7" s="5" t="s">
        <v>190</v>
      </c>
      <c r="F7" s="5" t="s">
        <v>191</v>
      </c>
      <c r="G7" s="5" t="s">
        <v>192</v>
      </c>
      <c r="H7" s="5" t="s">
        <v>193</v>
      </c>
      <c r="I7" s="5" t="s">
        <v>194</v>
      </c>
      <c r="J7" s="5" t="s">
        <v>32</v>
      </c>
    </row>
    <row r="8" customFormat="false" ht="14.65" hidden="false" customHeight="false" outlineLevel="0" collapsed="false">
      <c r="A8" s="30"/>
      <c r="B8" s="34"/>
      <c r="C8" s="35"/>
      <c r="D8" s="35"/>
      <c r="E8" s="35"/>
      <c r="F8" s="35"/>
      <c r="G8" s="35"/>
      <c r="H8" s="35"/>
      <c r="I8" s="35"/>
      <c r="J8" s="35"/>
    </row>
    <row r="9" customFormat="false" ht="14.65" hidden="false" customHeight="false" outlineLevel="0" collapsed="false">
      <c r="A9" s="30" t="s">
        <v>167</v>
      </c>
      <c r="B9" s="36"/>
      <c r="C9" s="35"/>
      <c r="D9" s="35"/>
      <c r="E9" s="35"/>
      <c r="F9" s="35"/>
      <c r="G9" s="35"/>
      <c r="H9" s="35"/>
      <c r="I9" s="35"/>
      <c r="J9" s="35"/>
    </row>
    <row r="10" customFormat="false" ht="14.65" hidden="false" customHeight="false" outlineLevel="0" collapsed="false">
      <c r="A10" s="37" t="s">
        <v>8</v>
      </c>
      <c r="B10" s="34" t="n">
        <v>984</v>
      </c>
      <c r="C10" s="35" t="n">
        <v>492</v>
      </c>
      <c r="D10" s="35" t="n">
        <v>65.6</v>
      </c>
      <c r="E10" s="35" t="n">
        <v>89.5</v>
      </c>
      <c r="F10" s="38" t="n">
        <v>203.5</v>
      </c>
      <c r="G10" s="35" t="n">
        <v>85.1</v>
      </c>
      <c r="H10" s="35" t="n">
        <v>178</v>
      </c>
      <c r="I10" s="38" t="n">
        <v>150.3</v>
      </c>
      <c r="J10" s="38" t="n">
        <v>192.7</v>
      </c>
    </row>
    <row r="11" customFormat="false" ht="14.65" hidden="false" customHeight="false" outlineLevel="0" collapsed="false">
      <c r="A11" s="37" t="s">
        <v>133</v>
      </c>
      <c r="B11" s="34" t="n">
        <v>257</v>
      </c>
      <c r="C11" s="35" t="n">
        <v>158</v>
      </c>
      <c r="D11" s="35" t="n">
        <v>82.7</v>
      </c>
      <c r="E11" s="35" t="n">
        <v>118.1</v>
      </c>
      <c r="F11" s="38" t="n">
        <v>160.7</v>
      </c>
      <c r="G11" s="35" t="n">
        <v>75.3</v>
      </c>
      <c r="H11" s="35" t="n">
        <v>147.9</v>
      </c>
      <c r="I11" s="38" t="n">
        <v>136.8</v>
      </c>
      <c r="J11" s="38" t="n">
        <v>167.5</v>
      </c>
    </row>
    <row r="12" customFormat="false" ht="14.65" hidden="false" customHeight="false" outlineLevel="0" collapsed="false">
      <c r="A12" s="37"/>
      <c r="B12" s="34"/>
      <c r="C12" s="35"/>
      <c r="D12" s="35"/>
      <c r="E12" s="35"/>
      <c r="G12" s="35"/>
      <c r="H12" s="35"/>
      <c r="I12" s="35"/>
      <c r="J12" s="35"/>
    </row>
    <row r="13" customFormat="false" ht="14.65" hidden="false" customHeight="false" outlineLevel="0" collapsed="false">
      <c r="A13" s="30" t="s">
        <v>169</v>
      </c>
      <c r="B13" s="34"/>
      <c r="C13" s="35"/>
      <c r="D13" s="35"/>
      <c r="E13" s="35"/>
      <c r="G13" s="35"/>
      <c r="H13" s="35"/>
      <c r="I13" s="35"/>
      <c r="J13" s="35"/>
    </row>
    <row r="14" customFormat="false" ht="14.65" hidden="false" customHeight="false" outlineLevel="0" collapsed="false">
      <c r="A14" s="37" t="s">
        <v>8</v>
      </c>
      <c r="B14" s="34" t="n">
        <v>28.8</v>
      </c>
      <c r="C14" s="35" t="n">
        <v>24.1</v>
      </c>
      <c r="D14" s="35" t="n">
        <v>14.7</v>
      </c>
      <c r="E14" s="35" t="n">
        <v>24.1</v>
      </c>
      <c r="F14" s="35" t="n">
        <v>17.8</v>
      </c>
      <c r="G14" s="35" t="n">
        <v>19.1</v>
      </c>
      <c r="H14" s="35" t="n">
        <v>23.2</v>
      </c>
      <c r="I14" s="35" t="n">
        <v>23.6</v>
      </c>
      <c r="J14" s="35" t="n">
        <v>30.2</v>
      </c>
    </row>
    <row r="15" customFormat="false" ht="14.65" hidden="false" customHeight="false" outlineLevel="0" collapsed="false">
      <c r="A15" s="37" t="s">
        <v>133</v>
      </c>
      <c r="B15" s="34" t="n">
        <v>40.1</v>
      </c>
      <c r="C15" s="35" t="n">
        <v>24.5</v>
      </c>
      <c r="D15" s="35" t="n">
        <v>17</v>
      </c>
      <c r="E15" s="35" t="n">
        <v>30.1</v>
      </c>
      <c r="F15" s="35" t="n">
        <v>14.3</v>
      </c>
      <c r="G15" s="35" t="n">
        <v>11.9</v>
      </c>
      <c r="H15" s="35" t="n">
        <v>24.5</v>
      </c>
      <c r="I15" s="35" t="n">
        <v>28.3</v>
      </c>
      <c r="J15" s="35" t="n">
        <v>32.7</v>
      </c>
    </row>
    <row r="16" customFormat="false" ht="14.65" hidden="false" customHeight="false" outlineLevel="0" collapsed="false">
      <c r="A16" s="30"/>
      <c r="B16" s="34"/>
      <c r="C16" s="35"/>
      <c r="D16" s="35"/>
      <c r="E16" s="35"/>
      <c r="F16" s="35"/>
      <c r="G16" s="35"/>
      <c r="H16" s="35"/>
      <c r="I16" s="35"/>
      <c r="J16" s="35"/>
    </row>
    <row r="17" customFormat="false" ht="14.65" hidden="false" customHeight="false" outlineLevel="0" collapsed="false">
      <c r="A17" s="30" t="s">
        <v>195</v>
      </c>
      <c r="B17" s="34"/>
      <c r="C17" s="35"/>
      <c r="D17" s="35"/>
      <c r="E17" s="35"/>
      <c r="F17" s="35"/>
      <c r="G17" s="35"/>
      <c r="H17" s="35"/>
      <c r="I17" s="35"/>
      <c r="J17" s="35"/>
    </row>
    <row r="18" customFormat="false" ht="14.65" hidden="false" customHeight="false" outlineLevel="0" collapsed="false">
      <c r="A18" s="37" t="s">
        <v>8</v>
      </c>
      <c r="B18" s="34" t="n">
        <v>1.41</v>
      </c>
      <c r="C18" s="35" t="n">
        <v>1.13</v>
      </c>
      <c r="D18" s="35" t="n">
        <v>1.27</v>
      </c>
      <c r="E18" s="35" t="n">
        <v>1.65</v>
      </c>
      <c r="F18" s="35" t="n">
        <v>1.16</v>
      </c>
      <c r="G18" s="35" t="n">
        <v>1.07</v>
      </c>
      <c r="H18" s="35" t="n">
        <v>1.25</v>
      </c>
      <c r="I18" s="35" t="n">
        <v>1.29</v>
      </c>
      <c r="J18" s="35" t="n">
        <v>1.84</v>
      </c>
    </row>
    <row r="19" customFormat="false" ht="14.65" hidden="false" customHeight="false" outlineLevel="0" collapsed="false">
      <c r="A19" s="37" t="s">
        <v>133</v>
      </c>
      <c r="B19" s="34" t="n">
        <v>0.69</v>
      </c>
      <c r="C19" s="35" t="n">
        <v>0.47</v>
      </c>
      <c r="D19" s="35" t="n">
        <v>0.64</v>
      </c>
      <c r="E19" s="35" t="n">
        <v>1.08</v>
      </c>
      <c r="F19" s="35" t="n">
        <v>0.46</v>
      </c>
      <c r="G19" s="35" t="n">
        <v>0.26</v>
      </c>
      <c r="H19" s="35" t="n">
        <v>0.6</v>
      </c>
      <c r="I19" s="35" t="n">
        <v>0.63</v>
      </c>
      <c r="J19" s="35" t="n">
        <v>1.29</v>
      </c>
    </row>
    <row r="20" customFormat="false" ht="14.65" hidden="false" customHeight="false" outlineLevel="0" collapsed="false">
      <c r="A20" s="30"/>
      <c r="B20" s="31"/>
      <c r="C20" s="30"/>
      <c r="D20" s="30"/>
      <c r="E20" s="30"/>
      <c r="F20" s="30"/>
      <c r="G20" s="30"/>
      <c r="H20" s="30"/>
      <c r="I20" s="30"/>
      <c r="J20" s="30"/>
    </row>
    <row r="21" customFormat="false" ht="14.65" hidden="false" customHeight="false" outlineLevel="0" collapsed="false">
      <c r="A21" s="5" t="s">
        <v>196</v>
      </c>
      <c r="B21" s="31"/>
      <c r="C21" s="30"/>
      <c r="D21" s="30"/>
      <c r="E21" s="30"/>
      <c r="F21" s="30"/>
      <c r="G21" s="30"/>
      <c r="H21" s="30"/>
      <c r="I21" s="30"/>
      <c r="J21" s="30"/>
    </row>
    <row r="22" customFormat="false" ht="14.65" hidden="false" customHeight="false" outlineLevel="0" collapsed="false">
      <c r="A22" s="6" t="s">
        <v>197</v>
      </c>
      <c r="B22" s="39" t="n">
        <v>7.891802</v>
      </c>
      <c r="C22" s="13" t="n">
        <v>16.895841</v>
      </c>
      <c r="D22" s="13" t="n">
        <v>10.824113</v>
      </c>
      <c r="E22" s="13" t="n">
        <v>11.243264</v>
      </c>
      <c r="F22" s="13" t="n">
        <v>8.632229</v>
      </c>
      <c r="G22" s="13" t="n">
        <v>20.771117</v>
      </c>
      <c r="H22" s="13" t="n">
        <v>14.462488</v>
      </c>
      <c r="I22" s="13" t="n">
        <v>16.397005</v>
      </c>
      <c r="J22" s="13" t="n">
        <v>12.229721</v>
      </c>
    </row>
    <row r="23" customFormat="false" ht="14.65" hidden="false" customHeight="false" outlineLevel="0" collapsed="false">
      <c r="A23" s="6" t="s">
        <v>198</v>
      </c>
      <c r="B23" s="39" t="n">
        <v>12.401</v>
      </c>
      <c r="C23" s="13" t="n">
        <v>22.929</v>
      </c>
      <c r="D23" s="13" t="n">
        <v>22.912</v>
      </c>
      <c r="E23" s="13" t="n">
        <v>20.614</v>
      </c>
      <c r="F23" s="13" t="n">
        <v>8.567</v>
      </c>
      <c r="G23" s="13" t="n">
        <v>6.23</v>
      </c>
      <c r="H23" s="13" t="n">
        <v>13.41</v>
      </c>
      <c r="I23" s="13" t="n">
        <v>16.36</v>
      </c>
      <c r="J23" s="13" t="n">
        <v>32.409</v>
      </c>
    </row>
    <row r="24" customFormat="false" ht="14.65" hidden="false" customHeight="false" outlineLevel="0" collapsed="false">
      <c r="A24" s="6"/>
      <c r="B24" s="39"/>
      <c r="C24" s="13"/>
      <c r="D24" s="13"/>
      <c r="E24" s="13"/>
      <c r="F24" s="13"/>
      <c r="G24" s="13"/>
      <c r="H24" s="13"/>
      <c r="I24" s="13"/>
      <c r="J24" s="13"/>
    </row>
    <row r="25" customFormat="false" ht="14.65" hidden="false" customHeight="false" outlineLevel="0" collapsed="false">
      <c r="A25" s="6" t="s">
        <v>167</v>
      </c>
      <c r="B25" s="40" t="n">
        <v>-0.023708</v>
      </c>
      <c r="C25" s="41" t="n">
        <v>-0.00022461</v>
      </c>
      <c r="D25" s="41" t="n">
        <v>0.030812</v>
      </c>
      <c r="E25" s="41" t="n">
        <v>0.028361</v>
      </c>
      <c r="F25" s="41" t="n">
        <v>0.020209</v>
      </c>
      <c r="G25" s="41" t="n">
        <v>0.004908</v>
      </c>
      <c r="H25" s="41" t="n">
        <v>0.027065</v>
      </c>
      <c r="I25" s="41" t="n">
        <v>0.042743</v>
      </c>
      <c r="J25" s="41" t="n">
        <v>0.027918</v>
      </c>
    </row>
    <row r="26" customFormat="false" ht="14.65" hidden="false" customHeight="false" outlineLevel="0" collapsed="false">
      <c r="A26" s="6" t="s">
        <v>198</v>
      </c>
      <c r="B26" s="40" t="n">
        <v>-13.623</v>
      </c>
      <c r="C26" s="41" t="n">
        <v>-0.098</v>
      </c>
      <c r="D26" s="41" t="n">
        <v>8.334</v>
      </c>
      <c r="E26" s="41" t="n">
        <v>5.66</v>
      </c>
      <c r="F26" s="41" t="n">
        <v>7.057</v>
      </c>
      <c r="G26" s="41" t="n">
        <v>0.415</v>
      </c>
      <c r="H26" s="41" t="n">
        <v>6.095</v>
      </c>
      <c r="I26" s="41" t="n">
        <v>9.172</v>
      </c>
      <c r="J26" s="41" t="n">
        <v>9.668</v>
      </c>
    </row>
    <row r="27" customFormat="false" ht="14.65" hidden="false" customHeight="false" outlineLevel="0" collapsed="false">
      <c r="A27" s="6"/>
      <c r="B27" s="39"/>
      <c r="C27" s="13"/>
      <c r="D27" s="13"/>
      <c r="E27" s="13"/>
      <c r="F27" s="13"/>
      <c r="G27" s="13"/>
      <c r="H27" s="13"/>
      <c r="I27" s="13"/>
      <c r="J27" s="13"/>
    </row>
    <row r="28" customFormat="false" ht="14.65" hidden="false" customHeight="false" outlineLevel="0" collapsed="false">
      <c r="A28" s="6" t="s">
        <v>199</v>
      </c>
      <c r="B28" s="39" t="n">
        <v>41.216292</v>
      </c>
      <c r="C28" s="13" t="n">
        <v>5.183207</v>
      </c>
      <c r="D28" s="13" t="n">
        <v>-0.841878</v>
      </c>
      <c r="E28" s="13" t="n">
        <v>3.216405</v>
      </c>
      <c r="F28" s="13" t="n">
        <v>3.717348</v>
      </c>
      <c r="G28" s="13" t="n">
        <v>-3.512236</v>
      </c>
      <c r="H28" s="13" t="n">
        <v>0.522212</v>
      </c>
      <c r="I28" s="13" t="n">
        <v>-3.783171</v>
      </c>
      <c r="J28" s="13" t="n">
        <v>3.654185</v>
      </c>
    </row>
    <row r="29" customFormat="false" ht="14.65" hidden="false" customHeight="false" outlineLevel="0" collapsed="false">
      <c r="A29" s="6" t="s">
        <v>198</v>
      </c>
      <c r="B29" s="39" t="n">
        <v>20.355</v>
      </c>
      <c r="C29" s="13" t="n">
        <v>3.608</v>
      </c>
      <c r="D29" s="13" t="n">
        <v>-1.281</v>
      </c>
      <c r="E29" s="13" t="n">
        <v>3.072</v>
      </c>
      <c r="F29" s="13" t="n">
        <v>2.833</v>
      </c>
      <c r="G29" s="13" t="n">
        <v>-1</v>
      </c>
      <c r="H29" s="13" t="n">
        <v>0.325</v>
      </c>
      <c r="I29" s="13" t="n">
        <v>-2.761</v>
      </c>
      <c r="J29" s="13" t="n">
        <v>4.181</v>
      </c>
    </row>
    <row r="30" customFormat="false" ht="14.65" hidden="false" customHeight="false" outlineLevel="0" collapsed="false">
      <c r="A30" s="6"/>
      <c r="B30" s="42"/>
      <c r="C30" s="6"/>
      <c r="D30" s="6"/>
      <c r="E30" s="6"/>
      <c r="F30" s="6"/>
      <c r="G30" s="6"/>
      <c r="H30" s="6"/>
      <c r="I30" s="6"/>
      <c r="J30" s="6"/>
    </row>
    <row r="31" customFormat="false" ht="14.65" hidden="false" customHeight="false" outlineLevel="0" collapsed="false">
      <c r="A31" s="6" t="s">
        <v>10</v>
      </c>
      <c r="B31" s="42" t="n">
        <v>8038</v>
      </c>
      <c r="C31" s="6" t="n">
        <v>4287</v>
      </c>
      <c r="D31" s="6" t="n">
        <v>2589</v>
      </c>
      <c r="E31" s="6" t="n">
        <v>2260</v>
      </c>
      <c r="F31" s="6" t="n">
        <v>850</v>
      </c>
      <c r="G31" s="6" t="n">
        <v>165</v>
      </c>
      <c r="H31" s="6" t="n">
        <v>1201</v>
      </c>
      <c r="I31" s="6" t="n">
        <v>1750</v>
      </c>
      <c r="J31" s="6" t="n">
        <v>4768</v>
      </c>
    </row>
    <row r="32" customFormat="false" ht="14.65" hidden="false" customHeight="false" outlineLevel="0" collapsed="false">
      <c r="A32" s="6" t="s">
        <v>200</v>
      </c>
      <c r="B32" s="39" t="n">
        <v>0.04291</v>
      </c>
      <c r="C32" s="13" t="n">
        <v>0.10888</v>
      </c>
      <c r="D32" s="13" t="n">
        <v>0.22494</v>
      </c>
      <c r="E32" s="13" t="n">
        <v>0.20427</v>
      </c>
      <c r="F32" s="13" t="n">
        <v>0.14412</v>
      </c>
      <c r="G32" s="13" t="n">
        <v>0.20478</v>
      </c>
      <c r="H32" s="13" t="n">
        <v>0.16933</v>
      </c>
      <c r="I32" s="13" t="n">
        <v>0.23004</v>
      </c>
      <c r="J32" s="13" t="n">
        <v>0.23683</v>
      </c>
    </row>
    <row r="33" customFormat="false" ht="14.65" hidden="false" customHeight="false" outlineLevel="0" collapsed="false">
      <c r="A33" s="6" t="s">
        <v>201</v>
      </c>
      <c r="B33" s="39" t="n">
        <v>39.42485</v>
      </c>
      <c r="C33" s="13" t="n">
        <v>23.16518</v>
      </c>
      <c r="D33" s="13" t="n">
        <v>15.04976</v>
      </c>
      <c r="E33" s="13" t="n">
        <v>26.88838</v>
      </c>
      <c r="F33" s="13" t="n">
        <v>13.24542</v>
      </c>
      <c r="G33" s="13" t="n">
        <v>10.61753</v>
      </c>
      <c r="H33" s="13" t="n">
        <v>22.40745</v>
      </c>
      <c r="I33" s="13" t="n">
        <v>24.90881</v>
      </c>
      <c r="J33" s="13" t="n">
        <v>31.8683</v>
      </c>
    </row>
    <row r="34" customFormat="false" ht="14.65" hidden="false" customHeight="false" outlineLevel="0" collapsed="false">
      <c r="A34" s="6" t="s">
        <v>202</v>
      </c>
      <c r="B34" s="39" t="n">
        <v>181.19627</v>
      </c>
      <c r="C34" s="13" t="n">
        <v>262.90796</v>
      </c>
      <c r="D34" s="13" t="n">
        <v>376.70048</v>
      </c>
      <c r="E34" s="13" t="n">
        <v>291.0851</v>
      </c>
      <c r="F34" s="13" t="n">
        <v>72.56382</v>
      </c>
      <c r="G34" s="13" t="n">
        <v>22.24422</v>
      </c>
      <c r="H34" s="13" t="n">
        <v>123.41205</v>
      </c>
      <c r="I34" s="13" t="n">
        <v>262.41583</v>
      </c>
      <c r="J34" s="13" t="n">
        <v>740.80095</v>
      </c>
    </row>
    <row r="35" customFormat="false" ht="14.65" hidden="false" customHeight="false" outlineLevel="0" collapsed="false">
      <c r="A35" s="8" t="s">
        <v>203</v>
      </c>
      <c r="B35" s="43" t="n">
        <v>0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</row>
    <row r="36" customFormat="false" ht="14.65" hidden="false" customHeight="false" outlineLevel="0" collapsed="false">
      <c r="A36" s="1" t="s">
        <v>204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