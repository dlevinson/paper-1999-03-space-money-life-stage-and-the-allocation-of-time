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vel" sheetId="1" state="visible" r:id="rId3"/>
    <sheet name="other" sheetId="2" state="visible" r:id="rId4"/>
    <sheet name="shop" sheetId="3" state="visible" r:id="rId5"/>
    <sheet name="work" sheetId="4" state="visible" r:id="rId6"/>
    <sheet name="Life Cycle" sheetId="5" state="visible" r:id="rId7"/>
    <sheet name="SPSS.LIS" sheetId="6" state="visible" r:id="rId8"/>
  </sheets>
  <definedNames>
    <definedName function="false" hidden="false" name="layx6" vbProcedure="false">#NAME?</definedName>
    <definedName function="false" hidden="false" name="layx7" vbProcedure="false">#NAME?</definedName>
    <definedName function="false" hidden="false" name="layx" vbProcedure="false">#NAME?</definedName>
    <definedName function="false" hidden="false" name="ns2." vbProcedure="false">#NAME?</definedName>
    <definedName function="false" hidden="false" name="ts2." vbProcedure="false">#NAME?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<sst xmlns="http://schemas.openxmlformats.org/spreadsheetml/2006/main" count="2296" uniqueCount="341">
  <si>
    <t xml:space="preserve">Table 3: Life Cycle Stage,Gender, and Activity Duration</t>
  </si>
  <si>
    <t xml:space="preserve">TIMETRAV</t>
  </si>
  <si>
    <t xml:space="preserve">Difference</t>
  </si>
  <si>
    <t xml:space="preserve">Number of</t>
  </si>
  <si>
    <t xml:space="preserve">Youngest</t>
  </si>
  <si>
    <t xml:space="preserve">Gender</t>
  </si>
  <si>
    <t xml:space="preserve">Mean</t>
  </si>
  <si>
    <t xml:space="preserve">Std Dev</t>
  </si>
  <si>
    <t xml:space="preserve">of Means</t>
  </si>
  <si>
    <t xml:space="preserve">Cases</t>
  </si>
  <si>
    <t xml:space="preserve">Adults</t>
  </si>
  <si>
    <t xml:space="preserve">Child</t>
  </si>
  <si>
    <t xml:space="preserve">Total</t>
  </si>
  <si>
    <t xml:space="preserve">M-F</t>
  </si>
  <si>
    <t xml:space="preserve">1</t>
  </si>
  <si>
    <t xml:space="preserve">None</t>
  </si>
  <si>
    <t xml:space="preserve">Male</t>
  </si>
  <si>
    <t xml:space="preserve">Female</t>
  </si>
  <si>
    <t xml:space="preserve">2+</t>
  </si>
  <si>
    <t xml:space="preserve">0-5</t>
  </si>
  <si>
    <t xml:space="preserve">6-15</t>
  </si>
  <si>
    <t xml:space="preserve">16-21</t>
  </si>
  <si>
    <t xml:space="preserve">retired</t>
  </si>
  <si>
    <t xml:space="preserve">TOTAL</t>
  </si>
  <si>
    <t xml:space="preserve">TIMEOTHE</t>
  </si>
  <si>
    <t xml:space="preserve">TIMESHOP</t>
  </si>
  <si>
    <t xml:space="preserve">TIMEWORK</t>
  </si>
  <si>
    <t xml:space="preserve">NA</t>
  </si>
  <si>
    <t xml:space="preserve">TIMEHOME</t>
  </si>
  <si>
    <t xml:space="preserve">SPSS</t>
  </si>
  <si>
    <t xml:space="preserve">/PC+ The Stat</t>
  </si>
  <si>
    <t xml:space="preserve">istical Package f</t>
  </si>
  <si>
    <t xml:space="preserve">or IBM PC</t>
  </si>
  <si>
    <t xml:space="preserve">get file="d:\np</t>
  </si>
  <si>
    <t xml:space="preserve">ts\persagg.x"</t>
  </si>
  <si>
    <t xml:space="preserve">.</t>
  </si>
  <si>
    <t xml:space="preserve">The SPSS/PC+ sy</t>
  </si>
  <si>
    <t xml:space="preserve">stem file is</t>
  </si>
  <si>
    <t xml:space="preserve">read from</t>
  </si>
  <si>
    <t xml:space="preserve">file d:\npt</t>
  </si>
  <si>
    <t xml:space="preserve">s\persagg.x</t>
  </si>
  <si>
    <t xml:space="preserve">The file was cr</t>
  </si>
  <si>
    <t xml:space="preserve">eated on 11/2</t>
  </si>
  <si>
    <t xml:space="preserve">2/96 at 12:23:02</t>
  </si>
  <si>
    <t xml:space="preserve">and is titled</t>
  </si>
  <si>
    <t xml:space="preserve">SPSS/PC+</t>
  </si>
  <si>
    <t xml:space="preserve">stem file con</t>
  </si>
  <si>
    <t xml:space="preserve">tains</t>
  </si>
  <si>
    <t xml:space="preserve">15609 cases,</t>
  </si>
  <si>
    <t xml:space="preserve">each consisti</t>
  </si>
  <si>
    <t xml:space="preserve">ng of</t>
  </si>
  <si>
    <t xml:space="preserve">67 variabl</t>
  </si>
  <si>
    <t xml:space="preserve">es (including</t>
  </si>
  <si>
    <t xml:space="preserve">system variables</t>
  </si>
  <si>
    <t xml:space="preserve">).</t>
  </si>
  <si>
    <t xml:space="preserve">es will be us</t>
  </si>
  <si>
    <t xml:space="preserve">ed in this sessio</t>
  </si>
  <si>
    <t xml:space="preserve">n.</t>
  </si>
  <si>
    <t xml:space="preserve">---------------</t>
  </si>
  <si>
    <t xml:space="preserve">-------------</t>
  </si>
  <si>
    <t xml:space="preserve">-----------------</t>
  </si>
  <si>
    <t xml:space="preserve">---------</t>
  </si>
  <si>
    <t xml:space="preserve">-----------</t>
  </si>
  <si>
    <t xml:space="preserve">--------------</t>
  </si>
  <si>
    <t xml:space="preserve">Page   2</t>
  </si>
  <si>
    <t xml:space="preserve">This procedure</t>
  </si>
  <si>
    <t xml:space="preserve">was completed</t>
  </si>
  <si>
    <t xml:space="preserve">at  9:08:21</t>
  </si>
  <si>
    <t xml:space="preserve">select if (agex</t>
  </si>
  <si>
    <t xml:space="preserve">ge 18 and ag</t>
  </si>
  <si>
    <t xml:space="preserve">ex le 65).</t>
  </si>
  <si>
    <t xml:space="preserve">compute timehom</t>
  </si>
  <si>
    <t xml:space="preserve">e=layx0.</t>
  </si>
  <si>
    <t xml:space="preserve">compute timewor</t>
  </si>
  <si>
    <t xml:space="preserve">k=layx1+layx2</t>
  </si>
  <si>
    <t xml:space="preserve">compute timesho</t>
  </si>
  <si>
    <t xml:space="preserve">p=layx3.</t>
  </si>
  <si>
    <t xml:space="preserve">compute timeoth</t>
  </si>
  <si>
    <t xml:space="preserve">e=layx4+layx5</t>
  </si>
  <si>
    <t xml:space="preserve">8+layx9+l</t>
  </si>
  <si>
    <t xml:space="preserve">ayx10+layx1</t>
  </si>
  <si>
    <t xml:space="preserve">compute timetra</t>
  </si>
  <si>
    <t xml:space="preserve">v=ts0+ts1+ts2</t>
  </si>
  <si>
    <t xml:space="preserve">+ts3+ts4+ts5+ts6+</t>
  </si>
  <si>
    <t xml:space="preserve">ts7+ts8+t</t>
  </si>
  <si>
    <t xml:space="preserve">s9+ts10+ts1</t>
  </si>
  <si>
    <t xml:space="preserve">compute daytot=</t>
  </si>
  <si>
    <t xml:space="preserve">timehome+time</t>
  </si>
  <si>
    <t xml:space="preserve">work+timeshop+tim</t>
  </si>
  <si>
    <t xml:space="preserve">eothe+tim</t>
  </si>
  <si>
    <t xml:space="preserve">etrav.</t>
  </si>
  <si>
    <t xml:space="preserve">select if (dayt</t>
  </si>
  <si>
    <t xml:space="preserve">ot=1440).</t>
  </si>
  <si>
    <t xml:space="preserve">compute nsw=ns1</t>
  </si>
  <si>
    <t xml:space="preserve">compute tsw=ts1</t>
  </si>
  <si>
    <t xml:space="preserve">means /tables l</t>
  </si>
  <si>
    <t xml:space="preserve">ayx0 timework</t>
  </si>
  <si>
    <t xml:space="preserve">layx3 layx4 layx</t>
  </si>
  <si>
    <t xml:space="preserve">5 layx6 l</t>
  </si>
  <si>
    <t xml:space="preserve">ayx8 layx10</t>
  </si>
  <si>
    <t xml:space="preserve">layx11.</t>
  </si>
  <si>
    <t xml:space="preserve">The raw data or</t>
  </si>
  <si>
    <t xml:space="preserve">transformati</t>
  </si>
  <si>
    <t xml:space="preserve">on pass is procee</t>
  </si>
  <si>
    <t xml:space="preserve">ding</t>
  </si>
  <si>
    <t xml:space="preserve">8159 cases a</t>
  </si>
  <si>
    <t xml:space="preserve">re written to</t>
  </si>
  <si>
    <t xml:space="preserve">the compressed a</t>
  </si>
  <si>
    <t xml:space="preserve">ctive fil</t>
  </si>
  <si>
    <t xml:space="preserve">e.</t>
  </si>
  <si>
    <t xml:space="preserve">Page   3</t>
  </si>
  <si>
    <t xml:space="preserve">ERROR   10105,</t>
  </si>
  <si>
    <t xml:space="preserve">(End of comma</t>
  </si>
  <si>
    <t xml:space="preserve">nd)</t>
  </si>
  <si>
    <t xml:space="preserve">ONLY ONE DIMENS</t>
  </si>
  <si>
    <t xml:space="preserve">ION ON MEANS</t>
  </si>
  <si>
    <t xml:space="preserve">COMMAND--Check fo</t>
  </si>
  <si>
    <t xml:space="preserve">r a missi</t>
  </si>
  <si>
    <t xml:space="preserve">ng BY keywo</t>
  </si>
  <si>
    <t xml:space="preserve">rd.  The</t>
  </si>
  <si>
    <t xml:space="preserve">form should be</t>
  </si>
  <si>
    <t xml:space="preserve">VARA BY VARB.</t>
  </si>
  <si>
    <t xml:space="preserve">This command no</t>
  </si>
  <si>
    <t xml:space="preserve">t executed.</t>
  </si>
  <si>
    <t xml:space="preserve">Page   4</t>
  </si>
  <si>
    <t xml:space="preserve">compute x=1.</t>
  </si>
  <si>
    <t xml:space="preserve">layx11 by x.</t>
  </si>
  <si>
    <t xml:space="preserve">***** Given WOR</t>
  </si>
  <si>
    <t xml:space="preserve">KSPACE allows</t>
  </si>
  <si>
    <t xml:space="preserve">for  6858 Cells</t>
  </si>
  <si>
    <t xml:space="preserve">with  1 D</t>
  </si>
  <si>
    <t xml:space="preserve">imensions f</t>
  </si>
  <si>
    <t xml:space="preserve">or MEANS.</t>
  </si>
  <si>
    <t xml:space="preserve">Page   5</t>
  </si>
  <si>
    <t xml:space="preserve">Summaries of</t>
  </si>
  <si>
    <t xml:space="preserve">LAYX0</t>
  </si>
  <si>
    <t xml:space="preserve">By levels of</t>
  </si>
  <si>
    <t xml:space="preserve">X</t>
  </si>
  <si>
    <t xml:space="preserve">Variable      V</t>
  </si>
  <si>
    <t xml:space="preserve">alue  Label</t>
  </si>
  <si>
    <t xml:space="preserve">For Entire Popu</t>
  </si>
  <si>
    <t xml:space="preserve">lation</t>
  </si>
  <si>
    <t xml:space="preserve">Total Cases =</t>
  </si>
  <si>
    <t xml:space="preserve">Page   6</t>
  </si>
  <si>
    <t xml:space="preserve">Page   7</t>
  </si>
  <si>
    <t xml:space="preserve">LAYX3</t>
  </si>
  <si>
    <t xml:space="preserve">Page   8</t>
  </si>
  <si>
    <t xml:space="preserve">LAYX4</t>
  </si>
  <si>
    <t xml:space="preserve">Page   9</t>
  </si>
  <si>
    <t xml:space="preserve">LAYX5</t>
  </si>
  <si>
    <t xml:space="preserve">Page  10</t>
  </si>
  <si>
    <t xml:space="preserve">LAYX6</t>
  </si>
  <si>
    <t xml:space="preserve">Page  11</t>
  </si>
  <si>
    <t xml:space="preserve">LAYX8</t>
  </si>
  <si>
    <t xml:space="preserve">Page  12</t>
  </si>
  <si>
    <t xml:space="preserve">LAYX10</t>
  </si>
  <si>
    <t xml:space="preserve">Page  13</t>
  </si>
  <si>
    <t xml:space="preserve">LAYX11</t>
  </si>
  <si>
    <t xml:space="preserve">Page  14</t>
  </si>
  <si>
    <t xml:space="preserve">at  9:15:52</t>
  </si>
  <si>
    <t xml:space="preserve">means /tables t</t>
  </si>
  <si>
    <t xml:space="preserve">s0 tsw ts3 ts</t>
  </si>
  <si>
    <t xml:space="preserve">4 ts5 ts6 ts8 ts1</t>
  </si>
  <si>
    <t xml:space="preserve">0 ts11 by</t>
  </si>
  <si>
    <t xml:space="preserve">x.</t>
  </si>
  <si>
    <t xml:space="preserve">Page  15</t>
  </si>
  <si>
    <t xml:space="preserve">TS0</t>
  </si>
  <si>
    <t xml:space="preserve">Page  16</t>
  </si>
  <si>
    <t xml:space="preserve">TSW</t>
  </si>
  <si>
    <t xml:space="preserve">Page  17</t>
  </si>
  <si>
    <t xml:space="preserve">TS3</t>
  </si>
  <si>
    <t xml:space="preserve">Page  18</t>
  </si>
  <si>
    <t xml:space="preserve">TS4</t>
  </si>
  <si>
    <t xml:space="preserve">Page  19</t>
  </si>
  <si>
    <t xml:space="preserve">TS5</t>
  </si>
  <si>
    <t xml:space="preserve">Page  20</t>
  </si>
  <si>
    <t xml:space="preserve">TS6</t>
  </si>
  <si>
    <t xml:space="preserve">Page  21</t>
  </si>
  <si>
    <t xml:space="preserve">TS8</t>
  </si>
  <si>
    <t xml:space="preserve">Page  22</t>
  </si>
  <si>
    <t xml:space="preserve">TS10</t>
  </si>
  <si>
    <t xml:space="preserve">Page  23</t>
  </si>
  <si>
    <t xml:space="preserve">TS11</t>
  </si>
  <si>
    <t xml:space="preserve">Page  24</t>
  </si>
  <si>
    <t xml:space="preserve">at  9:17:03</t>
  </si>
  <si>
    <t xml:space="preserve">means /tables n</t>
  </si>
  <si>
    <t xml:space="preserve">s0 nsw ns3 ns</t>
  </si>
  <si>
    <t xml:space="preserve">4 ns5 ns6 ns8 ns1</t>
  </si>
  <si>
    <t xml:space="preserve">0 ns11 by</t>
  </si>
  <si>
    <t xml:space="preserve">Page  25</t>
  </si>
  <si>
    <t xml:space="preserve">NS0</t>
  </si>
  <si>
    <t xml:space="preserve">Page  26</t>
  </si>
  <si>
    <t xml:space="preserve">NSW</t>
  </si>
  <si>
    <t xml:space="preserve">Page  27</t>
  </si>
  <si>
    <t xml:space="preserve">NS3</t>
  </si>
  <si>
    <t xml:space="preserve">Page  28</t>
  </si>
  <si>
    <t xml:space="preserve">NS4</t>
  </si>
  <si>
    <t xml:space="preserve">Page  29</t>
  </si>
  <si>
    <t xml:space="preserve">NS5</t>
  </si>
  <si>
    <t xml:space="preserve">Page  30</t>
  </si>
  <si>
    <t xml:space="preserve">NS6</t>
  </si>
  <si>
    <t xml:space="preserve">Page  31</t>
  </si>
  <si>
    <t xml:space="preserve">NS8</t>
  </si>
  <si>
    <t xml:space="preserve">Page  32</t>
  </si>
  <si>
    <t xml:space="preserve">NS10</t>
  </si>
  <si>
    <t xml:space="preserve">Page  33</t>
  </si>
  <si>
    <t xml:space="preserve">NS11</t>
  </si>
  <si>
    <t xml:space="preserve">Page  34</t>
  </si>
  <si>
    <t xml:space="preserve">at  9:18:12</t>
  </si>
  <si>
    <t xml:space="preserve">imehome by re</t>
  </si>
  <si>
    <t xml:space="preserve">late by sexx.</t>
  </si>
  <si>
    <t xml:space="preserve">for  5611 Cells</t>
  </si>
  <si>
    <t xml:space="preserve">with  2 D</t>
  </si>
  <si>
    <t xml:space="preserve">Page  35</t>
  </si>
  <si>
    <t xml:space="preserve">Page  54</t>
  </si>
  <si>
    <t xml:space="preserve">at  9:22:06</t>
  </si>
  <si>
    <t xml:space="preserve">Page  55</t>
  </si>
  <si>
    <t xml:space="preserve">DOS vi spatial5</t>
  </si>
  <si>
    <t xml:space="preserve">.ctl.</t>
  </si>
  <si>
    <t xml:space="preserve">Page  56</t>
  </si>
  <si>
    <t xml:space="preserve">at  9:27:22</t>
  </si>
  <si>
    <t xml:space="preserve">--Interrupted--</t>
  </si>
  <si>
    <t xml:space="preserve">Page  57</t>
  </si>
  <si>
    <t xml:space="preserve">process if (ns0</t>
  </si>
  <si>
    <t xml:space="preserve">.gt. 0).</t>
  </si>
  <si>
    <t xml:space="preserve">ERROR      31,</t>
  </si>
  <si>
    <t xml:space="preserve">Text: .</t>
  </si>
  <si>
    <t xml:space="preserve">INVALID OPERATO</t>
  </si>
  <si>
    <t xml:space="preserve">R ON PROCESS</t>
  </si>
  <si>
    <t xml:space="preserve">IF COMMAND--Valid</t>
  </si>
  <si>
    <t xml:space="preserve">operator</t>
  </si>
  <si>
    <t xml:space="preserve">s are EQ, N</t>
  </si>
  <si>
    <t xml:space="preserve">E, GE,</t>
  </si>
  <si>
    <t xml:space="preserve">GT, LE, LT, and</t>
  </si>
  <si>
    <t xml:space="preserve">their symbol</t>
  </si>
  <si>
    <t xml:space="preserve">ic equivalents.</t>
  </si>
  <si>
    <t xml:space="preserve">Page  58</t>
  </si>
  <si>
    <t xml:space="preserve">gt 0).</t>
  </si>
  <si>
    <t xml:space="preserve">ayx0 ts0 ns0</t>
  </si>
  <si>
    <t xml:space="preserve">by x.</t>
  </si>
  <si>
    <t xml:space="preserve">Page  59</t>
  </si>
  <si>
    <t xml:space="preserve">Page  60</t>
  </si>
  <si>
    <t xml:space="preserve">Page  61</t>
  </si>
  <si>
    <t xml:space="preserve">Page  62</t>
  </si>
  <si>
    <t xml:space="preserve">at  9:29:46</t>
  </si>
  <si>
    <t xml:space="preserve">process if (nsw</t>
  </si>
  <si>
    <t xml:space="preserve">imework tsw n</t>
  </si>
  <si>
    <t xml:space="preserve">sw by x.</t>
  </si>
  <si>
    <t xml:space="preserve">Page  63</t>
  </si>
  <si>
    <t xml:space="preserve">Page  64</t>
  </si>
  <si>
    <t xml:space="preserve">Page  65</t>
  </si>
  <si>
    <t xml:space="preserve">Page  66</t>
  </si>
  <si>
    <t xml:space="preserve">at  9:30:44</t>
  </si>
  <si>
    <t xml:space="preserve">process if (ns3</t>
  </si>
  <si>
    <t xml:space="preserve">ayx3 ts3 ns3</t>
  </si>
  <si>
    <t xml:space="preserve">Page  67</t>
  </si>
  <si>
    <t xml:space="preserve">Page  68</t>
  </si>
  <si>
    <t xml:space="preserve">Page  69</t>
  </si>
  <si>
    <t xml:space="preserve">Page  70</t>
  </si>
  <si>
    <t xml:space="preserve">at  9:31:37</t>
  </si>
  <si>
    <t xml:space="preserve">process if (ns4</t>
  </si>
  <si>
    <t xml:space="preserve">ayx4 ts4 ns4</t>
  </si>
  <si>
    <t xml:space="preserve">Page  71</t>
  </si>
  <si>
    <t xml:space="preserve">Page  72</t>
  </si>
  <si>
    <t xml:space="preserve">Page  73</t>
  </si>
  <si>
    <t xml:space="preserve">Page  74</t>
  </si>
  <si>
    <t xml:space="preserve">at  9:32:23</t>
  </si>
  <si>
    <t xml:space="preserve">process if (ns5</t>
  </si>
  <si>
    <t xml:space="preserve">ayx5 ts5 ns5</t>
  </si>
  <si>
    <t xml:space="preserve">Page  75</t>
  </si>
  <si>
    <t xml:space="preserve">Page  76</t>
  </si>
  <si>
    <t xml:space="preserve">Page  77</t>
  </si>
  <si>
    <t xml:space="preserve">Page  78</t>
  </si>
  <si>
    <t xml:space="preserve">at  9:33:04</t>
  </si>
  <si>
    <t xml:space="preserve">process if (ns6</t>
  </si>
  <si>
    <t xml:space="preserve">ayx6 ts6 ns6</t>
  </si>
  <si>
    <t xml:space="preserve">Page  79</t>
  </si>
  <si>
    <t xml:space="preserve">Page  80</t>
  </si>
  <si>
    <t xml:space="preserve">Page  81</t>
  </si>
  <si>
    <t xml:space="preserve">Page  82</t>
  </si>
  <si>
    <t xml:space="preserve">at  9:34:20</t>
  </si>
  <si>
    <t xml:space="preserve">process if (ns8</t>
  </si>
  <si>
    <t xml:space="preserve">ayx8 ts8 ns8</t>
  </si>
  <si>
    <t xml:space="preserve">Page  83</t>
  </si>
  <si>
    <t xml:space="preserve">Page  84</t>
  </si>
  <si>
    <t xml:space="preserve">Page  85</t>
  </si>
  <si>
    <t xml:space="preserve">Page  86</t>
  </si>
  <si>
    <t xml:space="preserve">at  9:35:10</t>
  </si>
  <si>
    <t xml:space="preserve">process if (ns1</t>
  </si>
  <si>
    <t xml:space="preserve">0 gt 0).</t>
  </si>
  <si>
    <t xml:space="preserve">ayx10 ts10 ns</t>
  </si>
  <si>
    <t xml:space="preserve">10 by x.</t>
  </si>
  <si>
    <t xml:space="preserve">Page  87</t>
  </si>
  <si>
    <t xml:space="preserve">Page  88</t>
  </si>
  <si>
    <t xml:space="preserve">Page  89</t>
  </si>
  <si>
    <t xml:space="preserve">Page  90</t>
  </si>
  <si>
    <t xml:space="preserve">at  9:36:20</t>
  </si>
  <si>
    <t xml:space="preserve">1 gt 0).</t>
  </si>
  <si>
    <t xml:space="preserve">ayx11 ts11 ns</t>
  </si>
  <si>
    <t xml:space="preserve">11 by x.</t>
  </si>
  <si>
    <t xml:space="preserve">Page  91</t>
  </si>
  <si>
    <t xml:space="preserve">Page  92</t>
  </si>
  <si>
    <t xml:space="preserve">Page  93</t>
  </si>
  <si>
    <t xml:space="preserve">Page  94</t>
  </si>
  <si>
    <t xml:space="preserve">at  9:37:44</t>
  </si>
  <si>
    <t xml:space="preserve">*means /tables</t>
  </si>
  <si>
    <t xml:space="preserve">timehome by r</t>
  </si>
  <si>
    <t xml:space="preserve">elate by sexx.</t>
  </si>
  <si>
    <t xml:space="preserve">timework by r</t>
  </si>
  <si>
    <t xml:space="preserve">timeshop by r</t>
  </si>
  <si>
    <t xml:space="preserve">timeothe by r</t>
  </si>
  <si>
    <t xml:space="preserve">timetrav by r</t>
  </si>
  <si>
    <t xml:space="preserve">Page  95</t>
  </si>
  <si>
    <t xml:space="preserve">compute tso=ts4</t>
  </si>
  <si>
    <t xml:space="preserve">+ts5+ts6+ts8+</t>
  </si>
  <si>
    <t xml:space="preserve">ts10.</t>
  </si>
  <si>
    <t xml:space="preserve">compute nso=ns4</t>
  </si>
  <si>
    <t xml:space="preserve">+ns5+ns6+ns8+</t>
  </si>
  <si>
    <t xml:space="preserve">ns10.</t>
  </si>
  <si>
    <t xml:space="preserve">imeothe tso n</t>
  </si>
  <si>
    <t xml:space="preserve">so by x.</t>
  </si>
  <si>
    <t xml:space="preserve">Page  96</t>
  </si>
  <si>
    <t xml:space="preserve">Page  97</t>
  </si>
  <si>
    <t xml:space="preserve">TSO</t>
  </si>
  <si>
    <t xml:space="preserve">Page  98</t>
  </si>
  <si>
    <t xml:space="preserve">NSO</t>
  </si>
  <si>
    <t xml:space="preserve">Page  99</t>
  </si>
  <si>
    <t xml:space="preserve">at  9:40:36</t>
  </si>
  <si>
    <t xml:space="preserve">Page 100</t>
  </si>
  <si>
    <t xml:space="preserve">process if (tim</t>
  </si>
  <si>
    <t xml:space="preserve">eothe gt 0).</t>
  </si>
  <si>
    <t xml:space="preserve">Page 101</t>
  </si>
  <si>
    <t xml:space="preserve">Page 102</t>
  </si>
  <si>
    <t xml:space="preserve">Page 103</t>
  </si>
  <si>
    <t xml:space="preserve">Page 104</t>
  </si>
  <si>
    <t xml:space="preserve">at  9:41:47</t>
  </si>
  <si>
    <t xml:space="preserve">Page 105</t>
  </si>
  <si>
    <t xml:space="preserve">FINISH.</t>
  </si>
  <si>
    <t xml:space="preserve">End of Include</t>
  </si>
  <si>
    <t xml:space="preserve">file.</t>
  </si>
  <si>
    <t xml:space="preserve">_x001a_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</si>
</sst>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"/>
    <numFmt numFmtId="167" formatCode="[$-C09]d/mm/yyyy"/>
  </numFmts>
  <fonts count="5">
    <font>
      <sz val="10"/>
      <name val="Geneva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Geneva"/>
      <family val="2"/>
    </font>
  </fonts>
  <fills count="2">
    <fill>
      <patternFill patternType="none"/>
    </fill>
    <fill>
      <patternFill patternType="gray125"/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4.65" customHeight="false" zeroHeight="false" outlineLevelRow="0" outlineLevelCol="0"/>
  <sheetData>
    <row r="1" customFormat="false" ht="14.6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4.6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4.65" hidden="false" customHeight="false" outlineLevel="0" collapsed="false">
      <c r="A3" s="2"/>
      <c r="B3" s="3"/>
      <c r="C3" s="4"/>
      <c r="D3" s="2" t="s">
        <v>1</v>
      </c>
      <c r="E3" s="3"/>
      <c r="F3" s="3"/>
      <c r="G3" s="4"/>
      <c r="H3" s="5"/>
    </row>
    <row r="4" customFormat="false" ht="14.65" hidden="false" customHeight="false" outlineLevel="0" collapsed="false">
      <c r="A4" s="6"/>
      <c r="B4" s="7"/>
      <c r="C4" s="8"/>
      <c r="D4" s="6"/>
      <c r="E4" s="7"/>
      <c r="F4" s="7" t="s">
        <v>2</v>
      </c>
      <c r="G4" s="7" t="s">
        <v>2</v>
      </c>
      <c r="H4" s="9"/>
    </row>
    <row r="5" customFormat="false" ht="14.65" hidden="false" customHeight="false" outlineLevel="0" collapsed="false">
      <c r="A5" s="6" t="s">
        <v>3</v>
      </c>
      <c r="B5" s="7" t="s">
        <v>4</v>
      </c>
      <c r="C5" s="8" t="s">
        <v>5</v>
      </c>
      <c r="D5" s="6" t="s">
        <v>6</v>
      </c>
      <c r="E5" s="7" t="s">
        <v>7</v>
      </c>
      <c r="F5" s="7" t="s">
        <v>8</v>
      </c>
      <c r="G5" s="7" t="s">
        <v>8</v>
      </c>
      <c r="H5" s="9" t="s">
        <v>9</v>
      </c>
    </row>
    <row r="6" customFormat="false" ht="14.65" hidden="false" customHeight="false" outlineLevel="0" collapsed="false">
      <c r="A6" s="10" t="s">
        <v>10</v>
      </c>
      <c r="B6" s="11" t="s">
        <v>11</v>
      </c>
      <c r="C6" s="12"/>
      <c r="D6" s="10"/>
      <c r="E6" s="11"/>
      <c r="F6" s="11" t="s">
        <v>12</v>
      </c>
      <c r="G6" s="12" t="s">
        <v>13</v>
      </c>
      <c r="H6" s="13"/>
    </row>
    <row r="7" customFormat="false" ht="14.65" hidden="false" customHeight="false" outlineLevel="0" collapsed="false">
      <c r="A7" s="14" t="s">
        <v>14</v>
      </c>
      <c r="B7" s="15" t="s">
        <v>15</v>
      </c>
      <c r="C7" s="16" t="s">
        <v>16</v>
      </c>
      <c r="D7" s="14" t="n">
        <v>71.5676</v>
      </c>
      <c r="E7" s="15" t="n">
        <v>73.6935</v>
      </c>
      <c r="F7" s="17" t="n">
        <f aca="false">(D7-D$28)/SQRT(E7^2/$H7+E$28^2/$H$28)</f>
        <v>1.64549797999402</v>
      </c>
      <c r="G7" s="18" t="n">
        <f aca="false">(D7-D8)/SQRT(E7^2/$H7+E8^2/$H8)</f>
        <v>1.11355600760918</v>
      </c>
      <c r="H7" s="19" t="n">
        <v>333</v>
      </c>
    </row>
    <row r="8" customFormat="false" ht="14.65" hidden="false" customHeight="false" outlineLevel="0" collapsed="false">
      <c r="A8" s="14" t="s">
        <v>14</v>
      </c>
      <c r="B8" s="15" t="s">
        <v>15</v>
      </c>
      <c r="C8" s="16" t="s">
        <v>17</v>
      </c>
      <c r="D8" s="14" t="n">
        <v>65.8735</v>
      </c>
      <c r="E8" s="15" t="n">
        <v>56.4602</v>
      </c>
      <c r="F8" s="17" t="n">
        <f aca="false">(D8-D$28)/SQRT(E8^2/$H8+E$28^2/$H$28)</f>
        <v>0.326048566174896</v>
      </c>
      <c r="G8" s="16"/>
      <c r="H8" s="19" t="n">
        <v>324</v>
      </c>
    </row>
    <row r="9" customFormat="false" ht="14.65" hidden="false" customHeight="false" outlineLevel="0" collapsed="false">
      <c r="A9" s="14" t="s">
        <v>18</v>
      </c>
      <c r="B9" s="15" t="s">
        <v>15</v>
      </c>
      <c r="C9" s="16" t="s">
        <v>16</v>
      </c>
      <c r="D9" s="14" t="n">
        <v>66.8093</v>
      </c>
      <c r="E9" s="15" t="n">
        <v>60.8595</v>
      </c>
      <c r="F9" s="17" t="n">
        <f aca="false">(D9-D$28)/SQRT(E9^2/$H9+E$28^2/$H$28)</f>
        <v>1.15207395310967</v>
      </c>
      <c r="G9" s="18" t="n">
        <f aca="false">(D9-D10)/SQRT(E9^2/$H9+E10^2/$H10)</f>
        <v>0.820842430331253</v>
      </c>
      <c r="H9" s="19" t="n">
        <v>1489</v>
      </c>
    </row>
    <row r="10" customFormat="false" ht="14.65" hidden="false" customHeight="false" outlineLevel="0" collapsed="false">
      <c r="A10" s="20" t="s">
        <v>18</v>
      </c>
      <c r="B10" s="21" t="s">
        <v>15</v>
      </c>
      <c r="C10" s="22" t="s">
        <v>17</v>
      </c>
      <c r="D10" s="20" t="n">
        <v>64.9519</v>
      </c>
      <c r="E10" s="21" t="n">
        <v>60.0792</v>
      </c>
      <c r="F10" s="23" t="n">
        <f aca="false">(D10-D$28)/SQRT(E10^2/$H10+E$28^2/$H$28)</f>
        <v>0.0711914901040488</v>
      </c>
      <c r="G10" s="22"/>
      <c r="H10" s="24" t="n">
        <v>1371</v>
      </c>
    </row>
    <row r="11" customFormat="false" ht="14.65" hidden="false" customHeight="false" outlineLevel="0" collapsed="false">
      <c r="A11" s="14" t="s">
        <v>14</v>
      </c>
      <c r="B11" s="15" t="s">
        <v>19</v>
      </c>
      <c r="C11" s="16" t="s">
        <v>16</v>
      </c>
      <c r="D11" s="14" t="n">
        <v>27.3333</v>
      </c>
      <c r="E11" s="15" t="n">
        <v>31.4113</v>
      </c>
      <c r="F11" s="17" t="n">
        <f aca="false">(D11-D$28)/SQRT(E11^2/$H11+E$28^2/$H$28)</f>
        <v>-2.91954307402441</v>
      </c>
      <c r="G11" s="18" t="n">
        <f aca="false">(D11-D12)/SQRT(E11^2/$H11+E12^2/$H12)</f>
        <v>-2.34435244242965</v>
      </c>
      <c r="H11" s="19" t="n">
        <v>6</v>
      </c>
    </row>
    <row r="12" customFormat="false" ht="14.65" hidden="false" customHeight="false" outlineLevel="0" collapsed="false">
      <c r="A12" s="14" t="s">
        <v>14</v>
      </c>
      <c r="B12" s="15" t="s">
        <v>19</v>
      </c>
      <c r="C12" s="16" t="s">
        <v>17</v>
      </c>
      <c r="D12" s="14" t="n">
        <v>60.3846</v>
      </c>
      <c r="E12" s="15" t="n">
        <v>51.7364</v>
      </c>
      <c r="F12" s="17" t="n">
        <f aca="false">(D12-D$28)/SQRT(E12^2/$H12+E$28^2/$H$28)</f>
        <v>-0.753053242891821</v>
      </c>
      <c r="G12" s="16"/>
      <c r="H12" s="19" t="n">
        <v>78</v>
      </c>
    </row>
    <row r="13" customFormat="false" ht="14.65" hidden="false" customHeight="false" outlineLevel="0" collapsed="false">
      <c r="A13" s="14" t="s">
        <v>18</v>
      </c>
      <c r="B13" s="15" t="s">
        <v>19</v>
      </c>
      <c r="C13" s="16" t="s">
        <v>16</v>
      </c>
      <c r="D13" s="14" t="n">
        <v>67.9132</v>
      </c>
      <c r="E13" s="15" t="n">
        <v>63.3566</v>
      </c>
      <c r="F13" s="17" t="n">
        <f aca="false">(D13-D$28)/SQRT(E13^2/$H13+E$28^2/$H$28)</f>
        <v>1.38882916714669</v>
      </c>
      <c r="G13" s="18" t="n">
        <f aca="false">(D13-D14)/SQRT(E13^2/$H13+E14^2/$H14)</f>
        <v>3.96583170479887</v>
      </c>
      <c r="H13" s="19" t="n">
        <v>899</v>
      </c>
    </row>
    <row r="14" customFormat="false" ht="14.65" hidden="false" customHeight="false" outlineLevel="0" collapsed="false">
      <c r="A14" s="20" t="s">
        <v>18</v>
      </c>
      <c r="B14" s="21" t="s">
        <v>19</v>
      </c>
      <c r="C14" s="22" t="s">
        <v>17</v>
      </c>
      <c r="D14" s="20" t="n">
        <v>56.867</v>
      </c>
      <c r="E14" s="21" t="n">
        <v>52.1862</v>
      </c>
      <c r="F14" s="23" t="n">
        <f aca="false">(D14-D$28)/SQRT(E14^2/$H14+E$28^2/$H$28)</f>
        <v>-4.10039069218955</v>
      </c>
      <c r="G14" s="22"/>
      <c r="H14" s="24" t="n">
        <v>827</v>
      </c>
    </row>
    <row r="15" customFormat="false" ht="14.65" hidden="false" customHeight="false" outlineLevel="0" collapsed="false">
      <c r="A15" s="14" t="s">
        <v>14</v>
      </c>
      <c r="B15" s="15" t="s">
        <v>20</v>
      </c>
      <c r="C15" s="16" t="s">
        <v>16</v>
      </c>
      <c r="D15" s="14" t="n">
        <v>65.1481</v>
      </c>
      <c r="E15" s="15" t="n">
        <v>61.5459</v>
      </c>
      <c r="F15" s="17" t="n">
        <f aca="false">(D15-D$28)/SQRT(E15^2/$H15+E$28^2/$H$28)</f>
        <v>0.0271144012765512</v>
      </c>
      <c r="G15" s="18" t="n">
        <f aca="false">(D15-D16)/SQRT(E15^2/$H15+E16^2/$H16)</f>
        <v>0.179294804564604</v>
      </c>
      <c r="H15" s="19" t="n">
        <v>27</v>
      </c>
    </row>
    <row r="16" customFormat="false" ht="14.65" hidden="false" customHeight="false" outlineLevel="0" collapsed="false">
      <c r="A16" s="14" t="s">
        <v>14</v>
      </c>
      <c r="B16" s="15" t="s">
        <v>20</v>
      </c>
      <c r="C16" s="16" t="s">
        <v>17</v>
      </c>
      <c r="D16" s="14" t="n">
        <v>62.8319</v>
      </c>
      <c r="E16" s="15" t="n">
        <v>56.2537</v>
      </c>
      <c r="F16" s="17" t="n">
        <f aca="false">(D16-D$28)/SQRT(E16^2/$H16+E$28^2/$H$28)</f>
        <v>-0.383365310934104</v>
      </c>
      <c r="G16" s="16"/>
      <c r="H16" s="19" t="n">
        <v>119</v>
      </c>
    </row>
    <row r="17" customFormat="false" ht="14.65" hidden="false" customHeight="false" outlineLevel="0" collapsed="false">
      <c r="A17" s="14" t="s">
        <v>18</v>
      </c>
      <c r="B17" s="15" t="s">
        <v>20</v>
      </c>
      <c r="C17" s="16" t="s">
        <v>16</v>
      </c>
      <c r="D17" s="14" t="n">
        <v>69.0205</v>
      </c>
      <c r="E17" s="15" t="n">
        <v>64.6662</v>
      </c>
      <c r="F17" s="17" t="n">
        <f aca="false">(D17-D$28)/SQRT(E17^2/$H17+E$28^2/$H$28)</f>
        <v>1.68501214512616</v>
      </c>
      <c r="G17" s="18" t="n">
        <f aca="false">(D17-D18)/SQRT(E17^2/$H17+E18^2/$H18)</f>
        <v>1.82589910577383</v>
      </c>
      <c r="H17" s="19" t="n">
        <v>731</v>
      </c>
    </row>
    <row r="18" customFormat="false" ht="14.65" hidden="false" customHeight="false" outlineLevel="0" collapsed="false">
      <c r="A18" s="20" t="s">
        <v>18</v>
      </c>
      <c r="B18" s="21" t="s">
        <v>20</v>
      </c>
      <c r="C18" s="22" t="s">
        <v>17</v>
      </c>
      <c r="D18" s="20" t="n">
        <v>62.6476</v>
      </c>
      <c r="E18" s="21" t="n">
        <v>68.1129</v>
      </c>
      <c r="F18" s="23" t="n">
        <f aca="false">(D18-D$28)/SQRT(E18^2/$H18+E$28^2/$H$28)</f>
        <v>-0.82727570595687</v>
      </c>
      <c r="G18" s="22"/>
      <c r="H18" s="24" t="n">
        <v>718</v>
      </c>
    </row>
    <row r="19" customFormat="false" ht="14.65" hidden="false" customHeight="false" outlineLevel="0" collapsed="false">
      <c r="A19" s="14" t="s">
        <v>14</v>
      </c>
      <c r="B19" s="15" t="s">
        <v>21</v>
      </c>
      <c r="C19" s="16" t="s">
        <v>16</v>
      </c>
      <c r="D19" s="14" t="n">
        <v>78.875</v>
      </c>
      <c r="E19" s="15" t="n">
        <v>99.4464</v>
      </c>
      <c r="F19" s="17" t="n">
        <f aca="false">(D19-D$28)/SQRT(E19^2/$H19+E$28^2/$H$28)</f>
        <v>0.564855291839102</v>
      </c>
      <c r="G19" s="18" t="n">
        <f aca="false">(D19-D20)/SQRT(E19^2/$H19+E20^2/$H20)</f>
        <v>0.83184404721463</v>
      </c>
      <c r="H19" s="19" t="n">
        <v>16</v>
      </c>
    </row>
    <row r="20" customFormat="false" ht="14.65" hidden="false" customHeight="false" outlineLevel="0" collapsed="false">
      <c r="A20" s="14" t="s">
        <v>14</v>
      </c>
      <c r="B20" s="15" t="s">
        <v>21</v>
      </c>
      <c r="C20" s="16" t="s">
        <v>17</v>
      </c>
      <c r="D20" s="14" t="n">
        <v>57.4419</v>
      </c>
      <c r="E20" s="15" t="n">
        <v>44.3661</v>
      </c>
      <c r="F20" s="17" t="n">
        <f aca="false">(D20-D$28)/SQRT(E20^2/$H20+E$28^2/$H$28)</f>
        <v>-1.08583275233091</v>
      </c>
      <c r="G20" s="16"/>
      <c r="H20" s="19" t="n">
        <v>43</v>
      </c>
    </row>
    <row r="21" customFormat="false" ht="14.65" hidden="false" customHeight="false" outlineLevel="0" collapsed="false">
      <c r="A21" s="14" t="s">
        <v>18</v>
      </c>
      <c r="B21" s="15" t="s">
        <v>21</v>
      </c>
      <c r="C21" s="16" t="s">
        <v>16</v>
      </c>
      <c r="D21" s="14" t="n">
        <v>70.4709</v>
      </c>
      <c r="E21" s="15" t="n">
        <v>74.0114</v>
      </c>
      <c r="F21" s="17" t="n">
        <f aca="false">(D21-D$28)/SQRT(E21^2/$H21+E$28^2/$H$28)</f>
        <v>1.45905216610752</v>
      </c>
      <c r="G21" s="18" t="n">
        <f aca="false">(D21-D22)/SQRT(E21^2/$H21+E22^2/$H22)</f>
        <v>1.9780595696527</v>
      </c>
      <c r="H21" s="19" t="n">
        <v>378</v>
      </c>
    </row>
    <row r="22" customFormat="false" ht="14.65" hidden="false" customHeight="false" outlineLevel="0" collapsed="false">
      <c r="A22" s="20" t="s">
        <v>18</v>
      </c>
      <c r="B22" s="21" t="s">
        <v>21</v>
      </c>
      <c r="C22" s="22" t="s">
        <v>17</v>
      </c>
      <c r="D22" s="20" t="n">
        <v>60.4943</v>
      </c>
      <c r="E22" s="21" t="n">
        <v>61.7215</v>
      </c>
      <c r="F22" s="23" t="n">
        <f aca="false">(D22-D$28)/SQRT(E22^2/$H22+E$28^2/$H$28)</f>
        <v>-1.28182939220684</v>
      </c>
      <c r="G22" s="22"/>
      <c r="H22" s="24" t="n">
        <v>348</v>
      </c>
    </row>
    <row r="23" customFormat="false" ht="14.65" hidden="false" customHeight="false" outlineLevel="0" collapsed="false">
      <c r="A23" s="14" t="s">
        <v>14</v>
      </c>
      <c r="B23" s="15" t="s">
        <v>22</v>
      </c>
      <c r="C23" s="16" t="s">
        <v>16</v>
      </c>
      <c r="D23" s="14" t="n">
        <v>67.3846</v>
      </c>
      <c r="E23" s="15" t="n">
        <v>77.7491</v>
      </c>
      <c r="F23" s="17" t="n">
        <f aca="false">(D23-D$28)/SQRT(E23^2/$H23+E$28^2/$H$28)</f>
        <v>0.118573911451525</v>
      </c>
      <c r="G23" s="18" t="n">
        <f aca="false">(D23-D24)/SQRT(E23^2/$H23+E24^2/$H24)</f>
        <v>-0.248181848769525</v>
      </c>
      <c r="H23" s="19" t="n">
        <v>13</v>
      </c>
    </row>
    <row r="24" customFormat="false" ht="14.65" hidden="false" customHeight="false" outlineLevel="0" collapsed="false">
      <c r="A24" s="14" t="s">
        <v>14</v>
      </c>
      <c r="B24" s="15" t="s">
        <v>22</v>
      </c>
      <c r="C24" s="16" t="s">
        <v>17</v>
      </c>
      <c r="D24" s="14" t="n">
        <v>74.3636</v>
      </c>
      <c r="E24" s="15" t="n">
        <v>59.862</v>
      </c>
      <c r="F24" s="17" t="n">
        <f aca="false">(D24-D$28)/SQRT(E24^2/$H24+E$28^2/$H$28)</f>
        <v>0.528019177334103</v>
      </c>
      <c r="G24" s="16"/>
      <c r="H24" s="19" t="n">
        <v>11</v>
      </c>
    </row>
    <row r="25" customFormat="false" ht="14.65" hidden="false" customHeight="false" outlineLevel="0" collapsed="false">
      <c r="A25" s="14" t="s">
        <v>18</v>
      </c>
      <c r="B25" s="15" t="s">
        <v>22</v>
      </c>
      <c r="C25" s="16" t="s">
        <v>16</v>
      </c>
      <c r="D25" s="14" t="n">
        <v>61.4541</v>
      </c>
      <c r="E25" s="15" t="n">
        <v>70.2325</v>
      </c>
      <c r="F25" s="17" t="n">
        <f aca="false">(D25-D$28)/SQRT(E25^2/$H25+E$28^2/$H$28)</f>
        <v>-0.6659731817709</v>
      </c>
      <c r="G25" s="18" t="n">
        <f aca="false">(D25-D26)/SQRT(E25^2/$H25+E26^2/$H26)</f>
        <v>1.45031968990483</v>
      </c>
      <c r="H25" s="19" t="n">
        <v>196</v>
      </c>
    </row>
    <row r="26" customFormat="false" ht="14.65" hidden="false" customHeight="false" outlineLevel="0" collapsed="false">
      <c r="A26" s="25" t="s">
        <v>18</v>
      </c>
      <c r="B26" s="26" t="s">
        <v>22</v>
      </c>
      <c r="C26" s="27" t="s">
        <v>17</v>
      </c>
      <c r="D26" s="25" t="n">
        <v>52.8341</v>
      </c>
      <c r="E26" s="26" t="n">
        <v>48.233</v>
      </c>
      <c r="F26" s="28" t="n">
        <f aca="false">(D26-D$28)/SQRT(E26^2/$H26+E$28^2/$H$28)</f>
        <v>-3.67752352920551</v>
      </c>
      <c r="G26" s="27"/>
      <c r="H26" s="29" t="n">
        <v>229</v>
      </c>
    </row>
    <row r="27" customFormat="false" ht="14.65" hidden="false" customHeight="false" outlineLevel="0" collapsed="false">
      <c r="A27" s="14"/>
      <c r="B27" s="15"/>
      <c r="C27" s="30"/>
      <c r="D27" s="14"/>
      <c r="E27" s="15"/>
      <c r="F27" s="15"/>
      <c r="G27" s="16"/>
      <c r="H27" s="19"/>
    </row>
    <row r="28" customFormat="false" ht="14.65" hidden="false" customHeight="false" outlineLevel="0" collapsed="false">
      <c r="A28" s="25"/>
      <c r="B28" s="26"/>
      <c r="C28" s="27" t="s">
        <v>23</v>
      </c>
      <c r="D28" s="25" t="n">
        <v>64.8264</v>
      </c>
      <c r="E28" s="26" t="n">
        <v>62.2463</v>
      </c>
      <c r="F28" s="26"/>
      <c r="G28" s="27"/>
      <c r="H28" s="29" t="n">
        <v>8159</v>
      </c>
    </row>
    <row r="29" customFormat="false" ht="14.65" hidden="false" customHeight="false" outlineLevel="0" collapsed="false">
      <c r="A29" s="1"/>
      <c r="B29" s="1"/>
      <c r="D29" s="1"/>
      <c r="E29" s="1"/>
      <c r="F29" s="1"/>
      <c r="G29" s="1"/>
      <c r="H29" s="1"/>
    </row>
    <row r="30" customFormat="false" ht="14.65" hidden="false" customHeight="false" outlineLevel="0" collapsed="false">
      <c r="A30" s="1"/>
      <c r="B30" s="1"/>
      <c r="D30" s="1"/>
      <c r="E30" s="1"/>
      <c r="F30" s="1"/>
      <c r="G30" s="1"/>
      <c r="H30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H28 A1:H28"/>
    </sheetView>
  </sheetViews>
  <sheetFormatPr defaultColWidth="11.0546875" defaultRowHeight="14.65" customHeight="false" zeroHeight="false" outlineLevelRow="0" outlineLevelCol="0"/>
  <sheetData>
    <row r="1" customFormat="false" ht="14.6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4.6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4.65" hidden="false" customHeight="false" outlineLevel="0" collapsed="false">
      <c r="A3" s="2"/>
      <c r="B3" s="3"/>
      <c r="C3" s="4"/>
      <c r="D3" s="2" t="s">
        <v>24</v>
      </c>
      <c r="E3" s="3"/>
      <c r="F3" s="3"/>
      <c r="G3" s="4"/>
      <c r="H3" s="5"/>
    </row>
    <row r="4" customFormat="false" ht="14.65" hidden="false" customHeight="false" outlineLevel="0" collapsed="false">
      <c r="A4" s="6"/>
      <c r="B4" s="7"/>
      <c r="C4" s="8"/>
      <c r="D4" s="6"/>
      <c r="E4" s="7"/>
      <c r="F4" s="7" t="s">
        <v>2</v>
      </c>
      <c r="G4" s="7" t="s">
        <v>2</v>
      </c>
      <c r="H4" s="9"/>
    </row>
    <row r="5" customFormat="false" ht="14.65" hidden="false" customHeight="false" outlineLevel="0" collapsed="false">
      <c r="A5" s="6" t="s">
        <v>3</v>
      </c>
      <c r="B5" s="7" t="s">
        <v>4</v>
      </c>
      <c r="C5" s="8" t="s">
        <v>5</v>
      </c>
      <c r="D5" s="6" t="s">
        <v>6</v>
      </c>
      <c r="E5" s="7" t="s">
        <v>7</v>
      </c>
      <c r="F5" s="7" t="s">
        <v>8</v>
      </c>
      <c r="G5" s="7" t="s">
        <v>8</v>
      </c>
      <c r="H5" s="9" t="s">
        <v>9</v>
      </c>
    </row>
    <row r="6" customFormat="false" ht="14.65" hidden="false" customHeight="false" outlineLevel="0" collapsed="false">
      <c r="A6" s="10" t="s">
        <v>10</v>
      </c>
      <c r="B6" s="11" t="s">
        <v>11</v>
      </c>
      <c r="C6" s="12"/>
      <c r="D6" s="10"/>
      <c r="E6" s="11"/>
      <c r="F6" s="11" t="s">
        <v>12</v>
      </c>
      <c r="G6" s="12" t="s">
        <v>13</v>
      </c>
      <c r="H6" s="13"/>
    </row>
    <row r="7" customFormat="false" ht="14.65" hidden="false" customHeight="false" outlineLevel="0" collapsed="false">
      <c r="A7" s="14" t="s">
        <v>14</v>
      </c>
      <c r="B7" s="15" t="s">
        <v>15</v>
      </c>
      <c r="C7" s="16" t="s">
        <v>16</v>
      </c>
      <c r="D7" s="14" t="n">
        <v>127.6036</v>
      </c>
      <c r="E7" s="15" t="n">
        <v>177.5547</v>
      </c>
      <c r="F7" s="17" t="n">
        <f aca="false">(D7-D$28)/SQRT(E7^2/$H7+E$28^2/$H$28)</f>
        <v>1.79011721300509</v>
      </c>
      <c r="G7" s="18" t="n">
        <f aca="false">(D7-D8)/SQRT(E7^2/$H7+E8^2/$H8)</f>
        <v>0.523884339940721</v>
      </c>
      <c r="H7" s="19" t="n">
        <v>333</v>
      </c>
    </row>
    <row r="8" customFormat="false" ht="14.65" hidden="false" customHeight="false" outlineLevel="0" collapsed="false">
      <c r="A8" s="14" t="s">
        <v>14</v>
      </c>
      <c r="B8" s="15" t="s">
        <v>15</v>
      </c>
      <c r="C8" s="16" t="s">
        <v>17</v>
      </c>
      <c r="D8" s="14" t="n">
        <v>120.7809</v>
      </c>
      <c r="E8" s="15" t="n">
        <v>155.8165</v>
      </c>
      <c r="F8" s="17" t="n">
        <f aca="false">(D8-D$28)/SQRT(E8^2/$H8+E$28^2/$H$28)</f>
        <v>1.23135528190891</v>
      </c>
      <c r="G8" s="16"/>
      <c r="H8" s="19" t="n">
        <v>324</v>
      </c>
    </row>
    <row r="9" customFormat="false" ht="14.65" hidden="false" customHeight="false" outlineLevel="0" collapsed="false">
      <c r="A9" s="14" t="s">
        <v>18</v>
      </c>
      <c r="B9" s="15" t="s">
        <v>15</v>
      </c>
      <c r="C9" s="16" t="s">
        <v>16</v>
      </c>
      <c r="D9" s="14" t="n">
        <v>109.4862</v>
      </c>
      <c r="E9" s="15" t="n">
        <v>163.5293</v>
      </c>
      <c r="F9" s="17" t="n">
        <f aca="false">(D9-D$28)/SQRT(E9^2/$H9+E$28^2/$H$28)</f>
        <v>-0.0913081996161345</v>
      </c>
      <c r="G9" s="18" t="n">
        <f aca="false">(D9-D10)/SQRT(E9^2/$H9+E10^2/$H10)</f>
        <v>-0.698823163608739</v>
      </c>
      <c r="H9" s="19" t="n">
        <v>1489</v>
      </c>
    </row>
    <row r="10" customFormat="false" ht="14.65" hidden="false" customHeight="false" outlineLevel="0" collapsed="false">
      <c r="A10" s="20" t="s">
        <v>18</v>
      </c>
      <c r="B10" s="21" t="s">
        <v>15</v>
      </c>
      <c r="C10" s="22" t="s">
        <v>17</v>
      </c>
      <c r="D10" s="20" t="n">
        <v>113.7228</v>
      </c>
      <c r="E10" s="21" t="n">
        <v>160.5199</v>
      </c>
      <c r="F10" s="23" t="n">
        <f aca="false">(D10-D$28)/SQRT(E10^2/$H10+E$28^2/$H$28)</f>
        <v>0.816337099107676</v>
      </c>
      <c r="G10" s="22"/>
      <c r="H10" s="24" t="n">
        <v>1371</v>
      </c>
    </row>
    <row r="11" customFormat="false" ht="14.65" hidden="false" customHeight="false" outlineLevel="0" collapsed="false">
      <c r="A11" s="14" t="s">
        <v>14</v>
      </c>
      <c r="B11" s="15" t="s">
        <v>19</v>
      </c>
      <c r="C11" s="16" t="s">
        <v>16</v>
      </c>
      <c r="D11" s="14" t="n">
        <v>110.6667</v>
      </c>
      <c r="E11" s="15" t="n">
        <v>171.612</v>
      </c>
      <c r="F11" s="17" t="n">
        <f aca="false">(D11-D$28)/SQRT(E11^2/$H11+E$28^2/$H$28)</f>
        <v>0.0108686550761691</v>
      </c>
      <c r="G11" s="18" t="n">
        <f aca="false">(D11-D12)/SQRT(E11^2/$H11+E12^2/$H12)</f>
        <v>-0.321304361610953</v>
      </c>
      <c r="H11" s="19" t="n">
        <v>6</v>
      </c>
    </row>
    <row r="12" customFormat="false" ht="14.65" hidden="false" customHeight="false" outlineLevel="0" collapsed="false">
      <c r="A12" s="14" t="s">
        <v>14</v>
      </c>
      <c r="B12" s="15" t="s">
        <v>19</v>
      </c>
      <c r="C12" s="16" t="s">
        <v>17</v>
      </c>
      <c r="D12" s="14" t="n">
        <v>133.9103</v>
      </c>
      <c r="E12" s="15" t="n">
        <v>159.1748</v>
      </c>
      <c r="F12" s="17" t="n">
        <f aca="false">(D12-D$28)/SQRT(E12^2/$H12+E$28^2/$H$28)</f>
        <v>1.32566029227519</v>
      </c>
      <c r="G12" s="16"/>
      <c r="H12" s="19" t="n">
        <v>78</v>
      </c>
    </row>
    <row r="13" customFormat="false" ht="14.65" hidden="false" customHeight="false" outlineLevel="0" collapsed="false">
      <c r="A13" s="14" t="s">
        <v>18</v>
      </c>
      <c r="B13" s="15" t="s">
        <v>19</v>
      </c>
      <c r="C13" s="16" t="s">
        <v>16</v>
      </c>
      <c r="D13" s="14" t="n">
        <v>86.1924</v>
      </c>
      <c r="E13" s="15" t="n">
        <v>139.0678</v>
      </c>
      <c r="F13" s="17" t="n">
        <f aca="false">(D13-D$28)/SQRT(E13^2/$H13+E$28^2/$H$28)</f>
        <v>-4.78184304220546</v>
      </c>
      <c r="G13" s="18" t="n">
        <f aca="false">(D13-D14)/SQRT(E13^2/$H13+E14^2/$H14)</f>
        <v>-3.52406661368613</v>
      </c>
      <c r="H13" s="19" t="n">
        <v>899</v>
      </c>
    </row>
    <row r="14" customFormat="false" ht="14.65" hidden="false" customHeight="false" outlineLevel="0" collapsed="false">
      <c r="A14" s="20" t="s">
        <v>18</v>
      </c>
      <c r="B14" s="21" t="s">
        <v>19</v>
      </c>
      <c r="C14" s="22" t="s">
        <v>17</v>
      </c>
      <c r="D14" s="20" t="n">
        <v>110.3096</v>
      </c>
      <c r="E14" s="21" t="n">
        <v>144.7106</v>
      </c>
      <c r="F14" s="23" t="n">
        <f aca="false">(D14-D$28)/SQRT(E14^2/$H14+E$28^2/$H$28)</f>
        <v>0.0759222019888837</v>
      </c>
      <c r="G14" s="22"/>
      <c r="H14" s="24" t="n">
        <v>827</v>
      </c>
    </row>
    <row r="15" customFormat="false" ht="14.65" hidden="false" customHeight="false" outlineLevel="0" collapsed="false">
      <c r="A15" s="14" t="s">
        <v>14</v>
      </c>
      <c r="B15" s="15" t="s">
        <v>20</v>
      </c>
      <c r="C15" s="16" t="s">
        <v>16</v>
      </c>
      <c r="D15" s="14" t="n">
        <v>131.4074</v>
      </c>
      <c r="E15" s="15" t="n">
        <v>167.9293</v>
      </c>
      <c r="F15" s="17" t="n">
        <f aca="false">(D15-D$28)/SQRT(E15^2/$H15+E$28^2/$H$28)</f>
        <v>0.664359841268881</v>
      </c>
      <c r="G15" s="18" t="n">
        <f aca="false">(D15-D16)/SQRT(E15^2/$H15+E16^2/$H16)</f>
        <v>0.347647788080847</v>
      </c>
      <c r="H15" s="19" t="n">
        <v>27</v>
      </c>
    </row>
    <row r="16" customFormat="false" ht="14.65" hidden="false" customHeight="false" outlineLevel="0" collapsed="false">
      <c r="A16" s="14" t="s">
        <v>14</v>
      </c>
      <c r="B16" s="15" t="s">
        <v>20</v>
      </c>
      <c r="C16" s="16" t="s">
        <v>17</v>
      </c>
      <c r="D16" s="14" t="n">
        <v>119.1765</v>
      </c>
      <c r="E16" s="15" t="n">
        <v>151.6705</v>
      </c>
      <c r="F16" s="17" t="n">
        <f aca="false">(D16-D$28)/SQRT(E16^2/$H16+E$28^2/$H$28)</f>
        <v>0.661594945734656</v>
      </c>
      <c r="G16" s="16"/>
      <c r="H16" s="19" t="n">
        <v>119</v>
      </c>
    </row>
    <row r="17" customFormat="false" ht="14.65" hidden="false" customHeight="false" outlineLevel="0" collapsed="false">
      <c r="A17" s="14" t="s">
        <v>18</v>
      </c>
      <c r="B17" s="15" t="s">
        <v>20</v>
      </c>
      <c r="C17" s="16" t="s">
        <v>16</v>
      </c>
      <c r="D17" s="14" t="n">
        <v>106.2038</v>
      </c>
      <c r="E17" s="15" t="n">
        <v>165.8583</v>
      </c>
      <c r="F17" s="17" t="n">
        <f aca="false">(D17-D$28)/SQRT(E17^2/$H17+E$28^2/$H$28)</f>
        <v>-0.580086420025207</v>
      </c>
      <c r="G17" s="18" t="n">
        <f aca="false">(D17-D18)/SQRT(E17^2/$H17+E18^2/$H18)</f>
        <v>-0.363494411306679</v>
      </c>
      <c r="H17" s="19" t="n">
        <v>731</v>
      </c>
    </row>
    <row r="18" customFormat="false" ht="14.65" hidden="false" customHeight="false" outlineLevel="0" collapsed="false">
      <c r="A18" s="20" t="s">
        <v>18</v>
      </c>
      <c r="B18" s="21" t="s">
        <v>20</v>
      </c>
      <c r="C18" s="22" t="s">
        <v>17</v>
      </c>
      <c r="D18" s="20" t="n">
        <v>109.3273</v>
      </c>
      <c r="E18" s="21" t="n">
        <v>161.2354</v>
      </c>
      <c r="F18" s="23" t="n">
        <f aca="false">(D18-D$28)/SQRT(E18^2/$H18+E$28^2/$H$28)</f>
        <v>-0.0921696270301565</v>
      </c>
      <c r="G18" s="22"/>
      <c r="H18" s="24" t="n">
        <v>718</v>
      </c>
    </row>
    <row r="19" customFormat="false" ht="14.65" hidden="false" customHeight="false" outlineLevel="0" collapsed="false">
      <c r="A19" s="14" t="s">
        <v>14</v>
      </c>
      <c r="B19" s="15" t="s">
        <v>21</v>
      </c>
      <c r="C19" s="16" t="s">
        <v>16</v>
      </c>
      <c r="D19" s="14" t="n">
        <v>188.625</v>
      </c>
      <c r="E19" s="15" t="n">
        <v>167.5951</v>
      </c>
      <c r="F19" s="17" t="n">
        <f aca="false">(D19-D$28)/SQRT(E19^2/$H19+E$28^2/$H$28)</f>
        <v>1.87716900085003</v>
      </c>
      <c r="G19" s="18" t="n">
        <f aca="false">(D19-D20)/SQRT(E19^2/$H19+E20^2/$H20)</f>
        <v>1.00193775775276</v>
      </c>
      <c r="H19" s="19" t="n">
        <v>16</v>
      </c>
    </row>
    <row r="20" customFormat="false" ht="14.65" hidden="false" customHeight="false" outlineLevel="0" collapsed="false">
      <c r="A20" s="14" t="s">
        <v>14</v>
      </c>
      <c r="B20" s="15" t="s">
        <v>21</v>
      </c>
      <c r="C20" s="16" t="s">
        <v>17</v>
      </c>
      <c r="D20" s="14" t="n">
        <v>138.0465</v>
      </c>
      <c r="E20" s="15" t="n">
        <v>184.6349</v>
      </c>
      <c r="F20" s="17" t="n">
        <f aca="false">(D20-D$28)/SQRT(E20^2/$H20+E$28^2/$H$28)</f>
        <v>0.997530690716931</v>
      </c>
      <c r="G20" s="16"/>
      <c r="H20" s="19" t="n">
        <v>43</v>
      </c>
    </row>
    <row r="21" customFormat="false" ht="14.65" hidden="false" customHeight="false" outlineLevel="0" collapsed="false">
      <c r="A21" s="14" t="s">
        <v>18</v>
      </c>
      <c r="B21" s="15" t="s">
        <v>21</v>
      </c>
      <c r="C21" s="16" t="s">
        <v>16</v>
      </c>
      <c r="D21" s="14" t="n">
        <v>110.0952</v>
      </c>
      <c r="E21" s="15" t="n">
        <v>158.996</v>
      </c>
      <c r="F21" s="17" t="n">
        <f aca="false">(D21-D$28)/SQRT(E21^2/$H21+E$28^2/$H$28)</f>
        <v>0.0227404809148024</v>
      </c>
      <c r="G21" s="18" t="n">
        <f aca="false">(D21-D22)/SQRT(E21^2/$H21+E22^2/$H22)</f>
        <v>-0.390539960031047</v>
      </c>
      <c r="H21" s="19" t="n">
        <v>378</v>
      </c>
    </row>
    <row r="22" customFormat="false" ht="14.65" hidden="false" customHeight="false" outlineLevel="0" collapsed="false">
      <c r="A22" s="20" t="s">
        <v>18</v>
      </c>
      <c r="B22" s="21" t="s">
        <v>21</v>
      </c>
      <c r="C22" s="22" t="s">
        <v>17</v>
      </c>
      <c r="D22" s="20" t="n">
        <v>114.7529</v>
      </c>
      <c r="E22" s="21" t="n">
        <v>161.9414</v>
      </c>
      <c r="F22" s="23" t="n">
        <f aca="false">(D22-D$28)/SQRT(E22^2/$H22+E$28^2/$H$28)</f>
        <v>0.547384869355564</v>
      </c>
      <c r="G22" s="22"/>
      <c r="H22" s="24" t="n">
        <v>348</v>
      </c>
    </row>
    <row r="23" customFormat="false" ht="14.65" hidden="false" customHeight="false" outlineLevel="0" collapsed="false">
      <c r="A23" s="14" t="s">
        <v>14</v>
      </c>
      <c r="B23" s="15" t="s">
        <v>22</v>
      </c>
      <c r="C23" s="16" t="s">
        <v>16</v>
      </c>
      <c r="D23" s="14" t="n">
        <v>145.8462</v>
      </c>
      <c r="E23" s="15" t="n">
        <v>168.2547</v>
      </c>
      <c r="F23" s="17" t="n">
        <f aca="false">(D23-D$28)/SQRT(E23^2/$H23+E$28^2/$H$28)</f>
        <v>0.769644814255748</v>
      </c>
      <c r="G23" s="18" t="n">
        <f aca="false">(D23-D24)/SQRT(E23^2/$H23+E24^2/$H24)</f>
        <v>-0.43252857163726</v>
      </c>
      <c r="H23" s="19" t="n">
        <v>13</v>
      </c>
    </row>
    <row r="24" customFormat="false" ht="14.65" hidden="false" customHeight="false" outlineLevel="0" collapsed="false">
      <c r="A24" s="14" t="s">
        <v>14</v>
      </c>
      <c r="B24" s="15" t="s">
        <v>22</v>
      </c>
      <c r="C24" s="16" t="s">
        <v>17</v>
      </c>
      <c r="D24" s="14" t="n">
        <v>178.7273</v>
      </c>
      <c r="E24" s="15" t="n">
        <v>199.0382</v>
      </c>
      <c r="F24" s="17" t="n">
        <f aca="false">(D24-D$28)/SQRT(E24^2/$H24+E$28^2/$H$28)</f>
        <v>1.14631398365066</v>
      </c>
      <c r="G24" s="16"/>
      <c r="H24" s="19" t="n">
        <v>11</v>
      </c>
    </row>
    <row r="25" customFormat="false" ht="14.65" hidden="false" customHeight="false" outlineLevel="0" collapsed="false">
      <c r="A25" s="14" t="s">
        <v>18</v>
      </c>
      <c r="B25" s="15" t="s">
        <v>22</v>
      </c>
      <c r="C25" s="16" t="s">
        <v>16</v>
      </c>
      <c r="D25" s="14" t="n">
        <v>121.7398</v>
      </c>
      <c r="E25" s="15" t="n">
        <v>156.8849</v>
      </c>
      <c r="F25" s="17" t="n">
        <f aca="false">(D25-D$28)/SQRT(E25^2/$H25+E$28^2/$H$28)</f>
        <v>1.04339720003114</v>
      </c>
      <c r="G25" s="18" t="n">
        <f aca="false">(D25-D26)/SQRT(E25^2/$H25+E26^2/$H26)</f>
        <v>1.28411340877345</v>
      </c>
      <c r="H25" s="19" t="n">
        <v>196</v>
      </c>
    </row>
    <row r="26" customFormat="false" ht="14.65" hidden="false" customHeight="false" outlineLevel="0" collapsed="false">
      <c r="A26" s="25" t="s">
        <v>18</v>
      </c>
      <c r="B26" s="26" t="s">
        <v>22</v>
      </c>
      <c r="C26" s="27" t="s">
        <v>17</v>
      </c>
      <c r="D26" s="25" t="n">
        <v>102.3319</v>
      </c>
      <c r="E26" s="26" t="n">
        <v>153.4707</v>
      </c>
      <c r="F26" s="28" t="n">
        <f aca="false">(D26-D$28)/SQRT(E26^2/$H26+E$28^2/$H$28)</f>
        <v>-0.735805626759486</v>
      </c>
      <c r="G26" s="27"/>
      <c r="H26" s="29" t="n">
        <v>229</v>
      </c>
    </row>
    <row r="27" customFormat="false" ht="14.65" hidden="false" customHeight="false" outlineLevel="0" collapsed="false">
      <c r="A27" s="14"/>
      <c r="B27" s="15"/>
      <c r="C27" s="30"/>
      <c r="D27" s="14"/>
      <c r="E27" s="15"/>
      <c r="F27" s="15"/>
      <c r="G27" s="16"/>
      <c r="H27" s="19"/>
    </row>
    <row r="28" customFormat="false" ht="14.65" hidden="false" customHeight="false" outlineLevel="0" collapsed="false">
      <c r="A28" s="25"/>
      <c r="B28" s="26"/>
      <c r="C28" s="27" t="s">
        <v>23</v>
      </c>
      <c r="D28" s="25" t="n">
        <v>109.905</v>
      </c>
      <c r="E28" s="26" t="n">
        <v>158.4693</v>
      </c>
      <c r="F28" s="26"/>
      <c r="G28" s="27"/>
      <c r="H28" s="29" t="n">
        <v>8159</v>
      </c>
    </row>
    <row r="29" customFormat="false" ht="14.65" hidden="false" customHeight="false" outlineLevel="0" collapsed="false">
      <c r="A29" s="1"/>
      <c r="B29" s="1"/>
      <c r="D29" s="1"/>
      <c r="E29" s="1"/>
      <c r="F29" s="1"/>
      <c r="G29" s="1"/>
      <c r="H29" s="1"/>
    </row>
    <row r="30" customFormat="false" ht="14.65" hidden="false" customHeight="false" outlineLevel="0" collapsed="false">
      <c r="A30" s="1"/>
      <c r="B30" s="1"/>
      <c r="D30" s="1"/>
      <c r="E30" s="1"/>
      <c r="F30" s="1"/>
      <c r="G30" s="1"/>
      <c r="H30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H28 A1:H28"/>
    </sheetView>
  </sheetViews>
  <sheetFormatPr defaultColWidth="11.0546875" defaultRowHeight="14.65" customHeight="false" zeroHeight="false" outlineLevelRow="0" outlineLevelCol="0"/>
  <sheetData>
    <row r="1" customFormat="false" ht="14.6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4.6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4.65" hidden="false" customHeight="false" outlineLevel="0" collapsed="false">
      <c r="A3" s="2"/>
      <c r="B3" s="3"/>
      <c r="C3" s="4"/>
      <c r="D3" s="2" t="s">
        <v>25</v>
      </c>
      <c r="E3" s="3"/>
      <c r="F3" s="3"/>
      <c r="G3" s="4"/>
      <c r="H3" s="5"/>
    </row>
    <row r="4" customFormat="false" ht="14.65" hidden="false" customHeight="false" outlineLevel="0" collapsed="false">
      <c r="A4" s="6"/>
      <c r="B4" s="7"/>
      <c r="C4" s="8"/>
      <c r="D4" s="6"/>
      <c r="E4" s="7"/>
      <c r="F4" s="7" t="s">
        <v>2</v>
      </c>
      <c r="G4" s="7" t="s">
        <v>2</v>
      </c>
      <c r="H4" s="9"/>
    </row>
    <row r="5" customFormat="false" ht="14.65" hidden="false" customHeight="false" outlineLevel="0" collapsed="false">
      <c r="A5" s="6" t="s">
        <v>3</v>
      </c>
      <c r="B5" s="7" t="s">
        <v>4</v>
      </c>
      <c r="C5" s="8" t="s">
        <v>5</v>
      </c>
      <c r="D5" s="6" t="s">
        <v>6</v>
      </c>
      <c r="E5" s="7" t="s">
        <v>7</v>
      </c>
      <c r="F5" s="7" t="s">
        <v>8</v>
      </c>
      <c r="G5" s="7" t="s">
        <v>8</v>
      </c>
      <c r="H5" s="9" t="s">
        <v>9</v>
      </c>
    </row>
    <row r="6" customFormat="false" ht="14.65" hidden="false" customHeight="false" outlineLevel="0" collapsed="false">
      <c r="A6" s="10" t="s">
        <v>10</v>
      </c>
      <c r="B6" s="11" t="s">
        <v>11</v>
      </c>
      <c r="C6" s="12"/>
      <c r="D6" s="10"/>
      <c r="E6" s="11"/>
      <c r="F6" s="11" t="s">
        <v>12</v>
      </c>
      <c r="G6" s="12" t="s">
        <v>13</v>
      </c>
      <c r="H6" s="13"/>
    </row>
    <row r="7" customFormat="false" ht="14.65" hidden="false" customHeight="false" outlineLevel="0" collapsed="false">
      <c r="A7" s="14" t="s">
        <v>14</v>
      </c>
      <c r="B7" s="15" t="s">
        <v>15</v>
      </c>
      <c r="C7" s="16" t="s">
        <v>16</v>
      </c>
      <c r="D7" s="14" t="n">
        <v>16.03</v>
      </c>
      <c r="E7" s="15" t="n">
        <v>46.2274</v>
      </c>
      <c r="F7" s="17" t="n">
        <f aca="false">(D7-D$28)/SQRT(E7^2/$H7+E$28^2/$H$28)</f>
        <v>-2.01667936248225</v>
      </c>
      <c r="G7" s="18" t="n">
        <f aca="false">(D7-D8)/SQRT(E7^2/$H7+E8^2/$H8)</f>
        <v>-2.9455696319782</v>
      </c>
      <c r="H7" s="19" t="n">
        <v>333</v>
      </c>
    </row>
    <row r="8" customFormat="false" ht="14.65" hidden="false" customHeight="false" outlineLevel="0" collapsed="false">
      <c r="A8" s="14" t="s">
        <v>14</v>
      </c>
      <c r="B8" s="15" t="s">
        <v>15</v>
      </c>
      <c r="C8" s="16" t="s">
        <v>17</v>
      </c>
      <c r="D8" s="14" t="n">
        <v>29.5679</v>
      </c>
      <c r="E8" s="15" t="n">
        <v>69.0273</v>
      </c>
      <c r="F8" s="17" t="n">
        <f aca="false">(D8-D$28)/SQRT(E8^2/$H8+E$28^2/$H$28)</f>
        <v>2.13040142279936</v>
      </c>
      <c r="G8" s="16"/>
      <c r="H8" s="19" t="n">
        <v>324</v>
      </c>
    </row>
    <row r="9" customFormat="false" ht="14.65" hidden="false" customHeight="false" outlineLevel="0" collapsed="false">
      <c r="A9" s="14" t="s">
        <v>18</v>
      </c>
      <c r="B9" s="15" t="s">
        <v>15</v>
      </c>
      <c r="C9" s="16" t="s">
        <v>16</v>
      </c>
      <c r="D9" s="14" t="n">
        <v>15.6803</v>
      </c>
      <c r="E9" s="15" t="n">
        <v>49.313</v>
      </c>
      <c r="F9" s="17" t="n">
        <f aca="false">(D9-D$28)/SQRT(E9^2/$H9+E$28^2/$H$28)</f>
        <v>-3.94633896816525</v>
      </c>
      <c r="G9" s="18" t="n">
        <f aca="false">(D9-D10)/SQRT(E9^2/$H9+E10^2/$H10)</f>
        <v>-4.51612348956782</v>
      </c>
      <c r="H9" s="19" t="n">
        <v>1489</v>
      </c>
    </row>
    <row r="10" customFormat="false" ht="14.65" hidden="false" customHeight="false" outlineLevel="0" collapsed="false">
      <c r="A10" s="20" t="s">
        <v>18</v>
      </c>
      <c r="B10" s="21" t="s">
        <v>15</v>
      </c>
      <c r="C10" s="22" t="s">
        <v>17</v>
      </c>
      <c r="D10" s="20" t="n">
        <v>24.9241</v>
      </c>
      <c r="E10" s="21" t="n">
        <v>59.2017</v>
      </c>
      <c r="F10" s="23" t="n">
        <f aca="false">(D10-D$28)/SQRT(E10^2/$H10+E$28^2/$H$28)</f>
        <v>2.11720328560887</v>
      </c>
      <c r="G10" s="22"/>
      <c r="H10" s="24" t="n">
        <v>1371</v>
      </c>
    </row>
    <row r="11" customFormat="false" ht="14.65" hidden="false" customHeight="false" outlineLevel="0" collapsed="false">
      <c r="A11" s="14" t="s">
        <v>14</v>
      </c>
      <c r="B11" s="15" t="s">
        <v>19</v>
      </c>
      <c r="C11" s="16" t="s">
        <v>16</v>
      </c>
      <c r="D11" s="14" t="n">
        <v>15.5</v>
      </c>
      <c r="E11" s="15" t="n">
        <v>20.3347</v>
      </c>
      <c r="F11" s="17" t="n">
        <f aca="false">(D11-D$28)/SQRT(E11^2/$H11+E$28^2/$H$28)</f>
        <v>-0.695619351446904</v>
      </c>
      <c r="G11" s="18" t="n">
        <f aca="false">(D11-D12)/SQRT(E11^2/$H11+E12^2/$H12)</f>
        <v>-1.02610008442859</v>
      </c>
      <c r="H11" s="19" t="n">
        <v>6</v>
      </c>
    </row>
    <row r="12" customFormat="false" ht="14.65" hidden="false" customHeight="false" outlineLevel="0" collapsed="false">
      <c r="A12" s="14" t="s">
        <v>14</v>
      </c>
      <c r="B12" s="15" t="s">
        <v>19</v>
      </c>
      <c r="C12" s="16" t="s">
        <v>17</v>
      </c>
      <c r="D12" s="14" t="n">
        <v>25.5897</v>
      </c>
      <c r="E12" s="15" t="n">
        <v>46.5429</v>
      </c>
      <c r="F12" s="17" t="n">
        <f aca="false">(D12-D$28)/SQRT(E12^2/$H12+E$28^2/$H$28)</f>
        <v>0.810059031861267</v>
      </c>
      <c r="G12" s="16"/>
      <c r="H12" s="19" t="n">
        <v>78</v>
      </c>
    </row>
    <row r="13" customFormat="false" ht="14.65" hidden="false" customHeight="false" outlineLevel="0" collapsed="false">
      <c r="A13" s="14" t="s">
        <v>18</v>
      </c>
      <c r="B13" s="15" t="s">
        <v>19</v>
      </c>
      <c r="C13" s="16" t="s">
        <v>16</v>
      </c>
      <c r="D13" s="14" t="n">
        <v>13.1068</v>
      </c>
      <c r="E13" s="15" t="n">
        <v>44.4226</v>
      </c>
      <c r="F13" s="17" t="n">
        <f aca="false">(D13-D$28)/SQRT(E13^2/$H13+E$28^2/$H$28)</f>
        <v>-5.09202528183474</v>
      </c>
      <c r="G13" s="18" t="n">
        <f aca="false">(D13-D14)/SQRT(E13^2/$H13+E14^2/$H14)</f>
        <v>-6.328386109306</v>
      </c>
      <c r="H13" s="19" t="n">
        <v>899</v>
      </c>
    </row>
    <row r="14" customFormat="false" ht="14.65" hidden="false" customHeight="false" outlineLevel="0" collapsed="false">
      <c r="A14" s="20" t="s">
        <v>18</v>
      </c>
      <c r="B14" s="21" t="s">
        <v>19</v>
      </c>
      <c r="C14" s="22" t="s">
        <v>17</v>
      </c>
      <c r="D14" s="20" t="n">
        <v>31.2019</v>
      </c>
      <c r="E14" s="21" t="n">
        <v>70.3289</v>
      </c>
      <c r="F14" s="23" t="n">
        <f aca="false">(D14-D$28)/SQRT(E14^2/$H14+E$28^2/$H$28)</f>
        <v>3.92713462083773</v>
      </c>
      <c r="G14" s="22"/>
      <c r="H14" s="24" t="n">
        <v>827</v>
      </c>
    </row>
    <row r="15" customFormat="false" ht="14.65" hidden="false" customHeight="false" outlineLevel="0" collapsed="false">
      <c r="A15" s="14" t="s">
        <v>14</v>
      </c>
      <c r="B15" s="15" t="s">
        <v>20</v>
      </c>
      <c r="C15" s="16" t="s">
        <v>16</v>
      </c>
      <c r="D15" s="14" t="n">
        <v>5.1852</v>
      </c>
      <c r="E15" s="15" t="n">
        <v>12.3445</v>
      </c>
      <c r="F15" s="17" t="n">
        <f aca="false">(D15-D$28)/SQRT(E15^2/$H15+E$28^2/$H$28)</f>
        <v>-6.55761383828174</v>
      </c>
      <c r="G15" s="18" t="n">
        <f aca="false">(D15-D16)/SQRT(E15^2/$H15+E16^2/$H16)</f>
        <v>-3.90752575285249</v>
      </c>
      <c r="H15" s="19" t="n">
        <v>27</v>
      </c>
    </row>
    <row r="16" customFormat="false" ht="14.65" hidden="false" customHeight="false" outlineLevel="0" collapsed="false">
      <c r="A16" s="14" t="s">
        <v>14</v>
      </c>
      <c r="B16" s="15" t="s">
        <v>20</v>
      </c>
      <c r="C16" s="16" t="s">
        <v>17</v>
      </c>
      <c r="D16" s="14" t="n">
        <v>23.084</v>
      </c>
      <c r="E16" s="15" t="n">
        <v>42.7225</v>
      </c>
      <c r="F16" s="17" t="n">
        <f aca="false">(D16-D$28)/SQRT(E16^2/$H16+E$28^2/$H$28)</f>
        <v>0.452136340708608</v>
      </c>
      <c r="G16" s="16"/>
      <c r="H16" s="19" t="n">
        <v>119</v>
      </c>
    </row>
    <row r="17" customFormat="false" ht="14.65" hidden="false" customHeight="false" outlineLevel="0" collapsed="false">
      <c r="A17" s="14" t="s">
        <v>18</v>
      </c>
      <c r="B17" s="15" t="s">
        <v>20</v>
      </c>
      <c r="C17" s="16" t="s">
        <v>16</v>
      </c>
      <c r="D17" s="14" t="n">
        <v>12.3789</v>
      </c>
      <c r="E17" s="15" t="n">
        <v>37.425</v>
      </c>
      <c r="F17" s="17" t="n">
        <f aca="false">(D17-D$28)/SQRT(E17^2/$H17+E$28^2/$H$28)</f>
        <v>-5.87103362092724</v>
      </c>
      <c r="G17" s="18" t="n">
        <f aca="false">(D17-D18)/SQRT(E17^2/$H17+E18^2/$H18)</f>
        <v>-6.39295732034168</v>
      </c>
      <c r="H17" s="19" t="n">
        <v>731</v>
      </c>
    </row>
    <row r="18" customFormat="false" ht="14.65" hidden="false" customHeight="false" outlineLevel="0" collapsed="false">
      <c r="A18" s="20" t="s">
        <v>18</v>
      </c>
      <c r="B18" s="21" t="s">
        <v>20</v>
      </c>
      <c r="C18" s="22" t="s">
        <v>17</v>
      </c>
      <c r="D18" s="20" t="n">
        <v>29.0808</v>
      </c>
      <c r="E18" s="21" t="n">
        <v>59.371</v>
      </c>
      <c r="F18" s="23" t="n">
        <f aca="false">(D18-D$28)/SQRT(E18^2/$H18+E$28^2/$H$28)</f>
        <v>3.38445103708234</v>
      </c>
      <c r="G18" s="22"/>
      <c r="H18" s="24" t="n">
        <v>718</v>
      </c>
    </row>
    <row r="19" customFormat="false" ht="14.65" hidden="false" customHeight="false" outlineLevel="0" collapsed="false">
      <c r="A19" s="14" t="s">
        <v>14</v>
      </c>
      <c r="B19" s="15" t="s">
        <v>21</v>
      </c>
      <c r="C19" s="16" t="s">
        <v>16</v>
      </c>
      <c r="D19" s="14" t="n">
        <v>6.4375</v>
      </c>
      <c r="E19" s="15" t="n">
        <v>11.4191</v>
      </c>
      <c r="F19" s="17" t="n">
        <f aca="false">(D19-D$28)/SQRT(E19^2/$H19+E$28^2/$H$28)</f>
        <v>-5.08337316186432</v>
      </c>
      <c r="G19" s="18" t="n">
        <f aca="false">(D19-D20)/SQRT(E19^2/$H19+E20^2/$H20)</f>
        <v>-2.95609978685732</v>
      </c>
      <c r="H19" s="19" t="n">
        <v>16</v>
      </c>
    </row>
    <row r="20" customFormat="false" ht="14.65" hidden="false" customHeight="false" outlineLevel="0" collapsed="false">
      <c r="A20" s="14" t="s">
        <v>14</v>
      </c>
      <c r="B20" s="15" t="s">
        <v>21</v>
      </c>
      <c r="C20" s="16" t="s">
        <v>17</v>
      </c>
      <c r="D20" s="14" t="n">
        <v>40.3256</v>
      </c>
      <c r="E20" s="15" t="n">
        <v>72.8049</v>
      </c>
      <c r="F20" s="17" t="n">
        <f aca="false">(D20-D$28)/SQRT(E20^2/$H20+E$28^2/$H$28)</f>
        <v>1.7117273346609</v>
      </c>
      <c r="G20" s="16"/>
      <c r="H20" s="19" t="n">
        <v>43</v>
      </c>
    </row>
    <row r="21" customFormat="false" ht="14.65" hidden="false" customHeight="false" outlineLevel="0" collapsed="false">
      <c r="A21" s="14" t="s">
        <v>18</v>
      </c>
      <c r="B21" s="15" t="s">
        <v>21</v>
      </c>
      <c r="C21" s="16" t="s">
        <v>16</v>
      </c>
      <c r="D21" s="14" t="n">
        <v>15.1534</v>
      </c>
      <c r="E21" s="15" t="n">
        <v>55.9911</v>
      </c>
      <c r="F21" s="17" t="n">
        <f aca="false">(D21-D$28)/SQRT(E21^2/$H21+E$28^2/$H$28)</f>
        <v>-2.08301289027167</v>
      </c>
      <c r="G21" s="18" t="n">
        <f aca="false">(D21-D22)/SQRT(E21^2/$H21+E22^2/$H22)</f>
        <v>-2.57956770932255</v>
      </c>
      <c r="H21" s="19" t="n">
        <v>378</v>
      </c>
    </row>
    <row r="22" customFormat="false" ht="14.65" hidden="false" customHeight="false" outlineLevel="0" collapsed="false">
      <c r="A22" s="20" t="s">
        <v>18</v>
      </c>
      <c r="B22" s="21" t="s">
        <v>21</v>
      </c>
      <c r="C22" s="22" t="s">
        <v>17</v>
      </c>
      <c r="D22" s="20" t="n">
        <v>29.1552</v>
      </c>
      <c r="E22" s="21" t="n">
        <v>85.8304</v>
      </c>
      <c r="F22" s="23" t="n">
        <f aca="false">(D22-D$28)/SQRT(E22^2/$H22+E$28^2/$H$28)</f>
        <v>1.69377982528972</v>
      </c>
      <c r="G22" s="22"/>
      <c r="H22" s="24" t="n">
        <v>348</v>
      </c>
    </row>
    <row r="23" customFormat="false" ht="14.65" hidden="false" customHeight="false" outlineLevel="0" collapsed="false">
      <c r="A23" s="14" t="s">
        <v>14</v>
      </c>
      <c r="B23" s="15" t="s">
        <v>22</v>
      </c>
      <c r="C23" s="16" t="s">
        <v>16</v>
      </c>
      <c r="D23" s="14" t="n">
        <v>31.1538</v>
      </c>
      <c r="E23" s="15" t="n">
        <v>37.9777</v>
      </c>
      <c r="F23" s="17" t="n">
        <f aca="false">(D23-D$28)/SQRT(E23^2/$H23+E$28^2/$H$28)</f>
        <v>0.934726931718015</v>
      </c>
      <c r="G23" s="18" t="n">
        <f aca="false">(D23-D24)/SQRT(E23^2/$H23+E24^2/$H24)</f>
        <v>0.385681493759114</v>
      </c>
      <c r="H23" s="19" t="n">
        <v>13</v>
      </c>
    </row>
    <row r="24" customFormat="false" ht="14.65" hidden="false" customHeight="false" outlineLevel="0" collapsed="false">
      <c r="A24" s="14" t="s">
        <v>14</v>
      </c>
      <c r="B24" s="15" t="s">
        <v>22</v>
      </c>
      <c r="C24" s="16" t="s">
        <v>17</v>
      </c>
      <c r="D24" s="14" t="n">
        <v>25</v>
      </c>
      <c r="E24" s="15" t="n">
        <v>39.7492</v>
      </c>
      <c r="F24" s="17" t="n">
        <f aca="false">(D24-D$28)/SQRT(E24^2/$H24+E$28^2/$H$28)</f>
        <v>0.30905707146421</v>
      </c>
      <c r="G24" s="16"/>
      <c r="H24" s="19" t="n">
        <v>11</v>
      </c>
    </row>
    <row r="25" customFormat="false" ht="14.65" hidden="false" customHeight="false" outlineLevel="0" collapsed="false">
      <c r="A25" s="14" t="s">
        <v>18</v>
      </c>
      <c r="B25" s="15" t="s">
        <v>22</v>
      </c>
      <c r="C25" s="16" t="s">
        <v>16</v>
      </c>
      <c r="D25" s="14" t="n">
        <v>16.4235</v>
      </c>
      <c r="E25" s="15" t="n">
        <v>32.7685</v>
      </c>
      <c r="F25" s="17" t="n">
        <f aca="false">(D25-D$28)/SQRT(E25^2/$H25+E$28^2/$H$28)</f>
        <v>-2.00960548518595</v>
      </c>
      <c r="G25" s="18" t="n">
        <f aca="false">(D25-D26)/SQRT(E25^2/$H25+E26^2/$H26)</f>
        <v>-3.25584399260535</v>
      </c>
      <c r="H25" s="19" t="n">
        <v>196</v>
      </c>
    </row>
    <row r="26" customFormat="false" ht="14.65" hidden="false" customHeight="false" outlineLevel="0" collapsed="false">
      <c r="A26" s="25" t="s">
        <v>18</v>
      </c>
      <c r="B26" s="26" t="s">
        <v>22</v>
      </c>
      <c r="C26" s="27" t="s">
        <v>17</v>
      </c>
      <c r="D26" s="25" t="n">
        <v>30.7729</v>
      </c>
      <c r="E26" s="26" t="n">
        <v>56.5115</v>
      </c>
      <c r="F26" s="28" t="n">
        <f aca="false">(D26-D$28)/SQRT(E26^2/$H26+E$28^2/$H$28)</f>
        <v>2.50445984004355</v>
      </c>
      <c r="G26" s="27"/>
      <c r="H26" s="29" t="n">
        <v>229</v>
      </c>
    </row>
    <row r="27" customFormat="false" ht="14.65" hidden="false" customHeight="false" outlineLevel="0" collapsed="false">
      <c r="A27" s="14"/>
      <c r="B27" s="15"/>
      <c r="C27" s="30"/>
      <c r="D27" s="14"/>
      <c r="E27" s="15"/>
      <c r="F27" s="15"/>
      <c r="G27" s="16"/>
      <c r="H27" s="19"/>
    </row>
    <row r="28" customFormat="false" ht="14.65" hidden="false" customHeight="false" outlineLevel="0" collapsed="false">
      <c r="A28" s="25"/>
      <c r="B28" s="26"/>
      <c r="C28" s="27" t="s">
        <v>23</v>
      </c>
      <c r="D28" s="25" t="n">
        <v>21.291</v>
      </c>
      <c r="E28" s="26" t="n">
        <v>56.2797</v>
      </c>
      <c r="F28" s="26"/>
      <c r="G28" s="27"/>
      <c r="H28" s="29" t="n">
        <v>8159</v>
      </c>
    </row>
    <row r="29" customFormat="false" ht="14.65" hidden="false" customHeight="false" outlineLevel="0" collapsed="false">
      <c r="A29" s="1"/>
      <c r="B29" s="1"/>
      <c r="D29" s="1"/>
      <c r="E29" s="1"/>
      <c r="F29" s="1"/>
      <c r="G29" s="1"/>
      <c r="H29" s="1"/>
    </row>
    <row r="30" customFormat="false" ht="14.65" hidden="false" customHeight="false" outlineLevel="0" collapsed="false">
      <c r="A30" s="1"/>
      <c r="B30" s="1"/>
      <c r="D30" s="1"/>
      <c r="E30" s="1"/>
      <c r="F30" s="1"/>
      <c r="G30" s="1"/>
      <c r="H30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H28 A1:H28"/>
    </sheetView>
  </sheetViews>
  <sheetFormatPr defaultColWidth="11.0546875" defaultRowHeight="14.65" customHeight="false" zeroHeight="false" outlineLevelRow="0" outlineLevelCol="0"/>
  <sheetData>
    <row r="1" customFormat="false" ht="14.6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4.6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4.65" hidden="false" customHeight="false" outlineLevel="0" collapsed="false">
      <c r="A3" s="2"/>
      <c r="B3" s="3"/>
      <c r="C3" s="4"/>
      <c r="D3" s="2" t="s">
        <v>26</v>
      </c>
      <c r="E3" s="3"/>
      <c r="F3" s="3"/>
      <c r="G3" s="4"/>
      <c r="H3" s="5"/>
    </row>
    <row r="4" customFormat="false" ht="14.65" hidden="false" customHeight="false" outlineLevel="0" collapsed="false">
      <c r="A4" s="6"/>
      <c r="B4" s="7"/>
      <c r="C4" s="8"/>
      <c r="D4" s="6"/>
      <c r="E4" s="7"/>
      <c r="F4" s="7" t="s">
        <v>2</v>
      </c>
      <c r="G4" s="7" t="s">
        <v>2</v>
      </c>
      <c r="H4" s="9"/>
    </row>
    <row r="5" customFormat="false" ht="14.65" hidden="false" customHeight="false" outlineLevel="0" collapsed="false">
      <c r="A5" s="6" t="s">
        <v>3</v>
      </c>
      <c r="B5" s="7" t="s">
        <v>4</v>
      </c>
      <c r="C5" s="8" t="s">
        <v>5</v>
      </c>
      <c r="D5" s="6" t="s">
        <v>6</v>
      </c>
      <c r="E5" s="7" t="s">
        <v>7</v>
      </c>
      <c r="F5" s="7" t="s">
        <v>8</v>
      </c>
      <c r="G5" s="7" t="s">
        <v>8</v>
      </c>
      <c r="H5" s="9" t="s">
        <v>9</v>
      </c>
    </row>
    <row r="6" customFormat="false" ht="14.65" hidden="false" customHeight="false" outlineLevel="0" collapsed="false">
      <c r="A6" s="10" t="s">
        <v>10</v>
      </c>
      <c r="B6" s="11" t="s">
        <v>11</v>
      </c>
      <c r="C6" s="12"/>
      <c r="D6" s="10"/>
      <c r="E6" s="11"/>
      <c r="F6" s="11" t="s">
        <v>12</v>
      </c>
      <c r="G6" s="12" t="s">
        <v>13</v>
      </c>
      <c r="H6" s="13"/>
    </row>
    <row r="7" customFormat="false" ht="14.65" hidden="false" customHeight="false" outlineLevel="0" collapsed="false">
      <c r="A7" s="14" t="s">
        <v>14</v>
      </c>
      <c r="B7" s="15" t="s">
        <v>15</v>
      </c>
      <c r="C7" s="16" t="s">
        <v>16</v>
      </c>
      <c r="D7" s="14" t="n">
        <v>291.8348</v>
      </c>
      <c r="E7" s="15" t="n">
        <v>270.0007</v>
      </c>
      <c r="F7" s="17" t="n">
        <f aca="false">(D7-D$28)/SQRT(E7^2/$H7+E$28^2/$H$28)</f>
        <v>2.12191952742562</v>
      </c>
      <c r="G7" s="18" t="n">
        <f aca="false">(D7-D8)/SQRT(E7^2/$H7+E8^2/$H8)</f>
        <v>1.88170692838349</v>
      </c>
      <c r="H7" s="19" t="n">
        <v>333</v>
      </c>
    </row>
    <row r="8" customFormat="false" ht="14.65" hidden="false" customHeight="false" outlineLevel="0" collapsed="false">
      <c r="A8" s="14" t="s">
        <v>14</v>
      </c>
      <c r="B8" s="15" t="s">
        <v>15</v>
      </c>
      <c r="C8" s="16" t="s">
        <v>17</v>
      </c>
      <c r="D8" s="14" t="n">
        <v>252.7284</v>
      </c>
      <c r="E8" s="15" t="n">
        <v>262.6942</v>
      </c>
      <c r="F8" s="17" t="n">
        <f aca="false">(D8-D$28)/SQRT(E8^2/$H8+E$28^2/$H$28)</f>
        <v>-0.474550956658238</v>
      </c>
      <c r="G8" s="16"/>
      <c r="H8" s="19" t="n">
        <v>324</v>
      </c>
    </row>
    <row r="9" customFormat="false" ht="14.65" hidden="false" customHeight="false" outlineLevel="0" collapsed="false">
      <c r="A9" s="14" t="s">
        <v>18</v>
      </c>
      <c r="B9" s="15" t="s">
        <v>15</v>
      </c>
      <c r="C9" s="16" t="s">
        <v>16</v>
      </c>
      <c r="D9" s="14" t="n">
        <v>305.2371</v>
      </c>
      <c r="E9" s="15" t="n">
        <v>283.4445</v>
      </c>
      <c r="F9" s="17" t="n">
        <f aca="false">(D9-D$28)/SQRT(E9^2/$H9+E$28^2/$H$28)</f>
        <v>5.72597077237273</v>
      </c>
      <c r="G9" s="18" t="n">
        <f aca="false">(D9-D10)/SQRT(E9^2/$H9+E10^2/$H10)</f>
        <v>4.97187512772944</v>
      </c>
      <c r="H9" s="19" t="n">
        <v>1489</v>
      </c>
    </row>
    <row r="10" customFormat="false" ht="14.65" hidden="false" customHeight="false" outlineLevel="0" collapsed="false">
      <c r="A10" s="20" t="s">
        <v>18</v>
      </c>
      <c r="B10" s="21" t="s">
        <v>15</v>
      </c>
      <c r="C10" s="22" t="s">
        <v>17</v>
      </c>
      <c r="D10" s="20" t="n">
        <v>254.6018</v>
      </c>
      <c r="E10" s="21" t="n">
        <v>261.2038</v>
      </c>
      <c r="F10" s="23" t="n">
        <f aca="false">(D10-D$28)/SQRT(E10^2/$H10+E$28^2/$H$28)</f>
        <v>-0.67789904398799</v>
      </c>
      <c r="G10" s="22"/>
      <c r="H10" s="24" t="n">
        <v>1371</v>
      </c>
    </row>
    <row r="11" customFormat="false" ht="14.65" hidden="false" customHeight="false" outlineLevel="0" collapsed="false">
      <c r="A11" s="14" t="s">
        <v>14</v>
      </c>
      <c r="B11" s="15" t="s">
        <v>19</v>
      </c>
      <c r="C11" s="16" t="s">
        <v>16</v>
      </c>
      <c r="D11" s="14" t="n">
        <v>132.5</v>
      </c>
      <c r="E11" s="15" t="n">
        <v>217.2499</v>
      </c>
      <c r="F11" s="17" t="n">
        <f aca="false">(D11-D$28)/SQRT(E11^2/$H11+E$28^2/$H$28)</f>
        <v>-1.43447394600713</v>
      </c>
      <c r="G11" s="18" t="n">
        <f aca="false">(D11-D12)/SQRT(E11^2/$H11+E12^2/$H12)</f>
        <v>-0.512346464117798</v>
      </c>
      <c r="H11" s="19" t="n">
        <v>6</v>
      </c>
    </row>
    <row r="12" customFormat="false" ht="14.65" hidden="false" customHeight="false" outlineLevel="0" collapsed="false">
      <c r="A12" s="14" t="s">
        <v>14</v>
      </c>
      <c r="B12" s="15" t="s">
        <v>19</v>
      </c>
      <c r="C12" s="16" t="s">
        <v>17</v>
      </c>
      <c r="D12" s="14" t="n">
        <v>180.1795</v>
      </c>
      <c r="E12" s="15" t="n">
        <v>248.878</v>
      </c>
      <c r="F12" s="17" t="n">
        <f aca="false">(D12-D$28)/SQRT(E12^2/$H12+E$28^2/$H$28)</f>
        <v>-2.80950366799047</v>
      </c>
      <c r="G12" s="16"/>
      <c r="H12" s="19" t="n">
        <v>78</v>
      </c>
    </row>
    <row r="13" customFormat="false" ht="14.65" hidden="false" customHeight="false" outlineLevel="0" collapsed="false">
      <c r="A13" s="14" t="s">
        <v>18</v>
      </c>
      <c r="B13" s="15" t="s">
        <v>19</v>
      </c>
      <c r="C13" s="16" t="s">
        <v>16</v>
      </c>
      <c r="D13" s="14" t="n">
        <v>341.0011</v>
      </c>
      <c r="E13" s="15" t="n">
        <v>279.7634</v>
      </c>
      <c r="F13" s="17" t="n">
        <f aca="false">(D13-D$28)/SQRT(E13^2/$H13+E$28^2/$H$28)</f>
        <v>8.2843906101181</v>
      </c>
      <c r="G13" s="18" t="n">
        <f aca="false">(D13-D14)/SQRT(E13^2/$H13+E14^2/$H14)</f>
        <v>14.8126826774162</v>
      </c>
      <c r="H13" s="19" t="n">
        <v>899</v>
      </c>
    </row>
    <row r="14" customFormat="false" ht="14.65" hidden="false" customHeight="false" outlineLevel="0" collapsed="false">
      <c r="A14" s="20" t="s">
        <v>18</v>
      </c>
      <c r="B14" s="21" t="s">
        <v>19</v>
      </c>
      <c r="C14" s="22" t="s">
        <v>17</v>
      </c>
      <c r="D14" s="20" t="n">
        <v>157.6409</v>
      </c>
      <c r="E14" s="21" t="n">
        <v>233.9267</v>
      </c>
      <c r="F14" s="23" t="n">
        <f aca="false">(D14-D$28)/SQRT(E14^2/$H14+E$28^2/$H$28)</f>
        <v>-11.7817959758286</v>
      </c>
      <c r="G14" s="22"/>
      <c r="H14" s="24" t="n">
        <v>827</v>
      </c>
    </row>
    <row r="15" customFormat="false" ht="14.65" hidden="false" customHeight="false" outlineLevel="0" collapsed="false">
      <c r="A15" s="14" t="s">
        <v>14</v>
      </c>
      <c r="B15" s="15" t="s">
        <v>20</v>
      </c>
      <c r="C15" s="16" t="s">
        <v>16</v>
      </c>
      <c r="D15" s="14" t="n">
        <v>192.8148</v>
      </c>
      <c r="E15" s="15" t="n">
        <v>246.502</v>
      </c>
      <c r="F15" s="17" t="n">
        <f aca="false">(D15-D$28)/SQRT(E15^2/$H15+E$28^2/$H$28)</f>
        <v>-1.40917968577657</v>
      </c>
      <c r="G15" s="18" t="n">
        <f aca="false">(D15-D16)/SQRT(E15^2/$H15+E16^2/$H16)</f>
        <v>-1.38795166392881</v>
      </c>
      <c r="H15" s="19" t="n">
        <v>27</v>
      </c>
    </row>
    <row r="16" customFormat="false" ht="14.65" hidden="false" customHeight="false" outlineLevel="0" collapsed="false">
      <c r="A16" s="14" t="s">
        <v>14</v>
      </c>
      <c r="B16" s="15" t="s">
        <v>20</v>
      </c>
      <c r="C16" s="16" t="s">
        <v>17</v>
      </c>
      <c r="D16" s="14" t="n">
        <v>266.5378</v>
      </c>
      <c r="E16" s="15" t="n">
        <v>260.6388</v>
      </c>
      <c r="F16" s="17" t="n">
        <f aca="false">(D16-D$28)/SQRT(E16^2/$H16+E$28^2/$H$28)</f>
        <v>0.279839013132765</v>
      </c>
      <c r="G16" s="16"/>
      <c r="H16" s="19" t="n">
        <v>119</v>
      </c>
    </row>
    <row r="17" customFormat="false" ht="14.65" hidden="false" customHeight="false" outlineLevel="0" collapsed="false">
      <c r="A17" s="14" t="s">
        <v>18</v>
      </c>
      <c r="B17" s="15" t="s">
        <v>20</v>
      </c>
      <c r="C17" s="16" t="s">
        <v>16</v>
      </c>
      <c r="D17" s="14" t="n">
        <v>315.3885</v>
      </c>
      <c r="E17" s="15" t="n">
        <v>279.8863</v>
      </c>
      <c r="F17" s="17" t="n">
        <f aca="false">(D17-D$28)/SQRT(E17^2/$H17+E$28^2/$H$28)</f>
        <v>5.15739092573532</v>
      </c>
      <c r="G17" s="18" t="n">
        <f aca="false">(D17-D18)/SQRT(E17^2/$H17+E18^2/$H18)</f>
        <v>7.34278414871702</v>
      </c>
      <c r="H17" s="19" t="n">
        <v>731</v>
      </c>
    </row>
    <row r="18" customFormat="false" ht="14.65" hidden="false" customHeight="false" outlineLevel="0" collapsed="false">
      <c r="A18" s="20" t="s">
        <v>18</v>
      </c>
      <c r="B18" s="21" t="s">
        <v>20</v>
      </c>
      <c r="C18" s="22" t="s">
        <v>17</v>
      </c>
      <c r="D18" s="20" t="n">
        <v>213.1295</v>
      </c>
      <c r="E18" s="21" t="n">
        <v>249.6202</v>
      </c>
      <c r="F18" s="23" t="n">
        <f aca="false">(D18-D$28)/SQRT(E18^2/$H18+E$28^2/$H$28)</f>
        <v>-4.76822013750984</v>
      </c>
      <c r="G18" s="22"/>
      <c r="H18" s="24" t="n">
        <v>718</v>
      </c>
    </row>
    <row r="19" customFormat="false" ht="14.65" hidden="false" customHeight="false" outlineLevel="0" collapsed="false">
      <c r="A19" s="14" t="s">
        <v>14</v>
      </c>
      <c r="B19" s="15" t="s">
        <v>21</v>
      </c>
      <c r="C19" s="16" t="s">
        <v>16</v>
      </c>
      <c r="D19" s="14" t="n">
        <v>256</v>
      </c>
      <c r="E19" s="15" t="n">
        <v>267.7798</v>
      </c>
      <c r="F19" s="17" t="n">
        <f aca="false">(D19-D$28)/SQRT(E19^2/$H19+E$28^2/$H$28)</f>
        <v>-0.0566926233174338</v>
      </c>
      <c r="G19" s="18" t="n">
        <f aca="false">(D19-D20)/SQRT(E19^2/$H19+E20^2/$H20)</f>
        <v>0.64182776740571</v>
      </c>
      <c r="H19" s="19" t="n">
        <v>16</v>
      </c>
    </row>
    <row r="20" customFormat="false" ht="14.65" hidden="false" customHeight="false" outlineLevel="0" collapsed="false">
      <c r="A20" s="14" t="s">
        <v>14</v>
      </c>
      <c r="B20" s="15" t="s">
        <v>21</v>
      </c>
      <c r="C20" s="16" t="s">
        <v>17</v>
      </c>
      <c r="D20" s="14" t="n">
        <v>206.8837</v>
      </c>
      <c r="E20" s="15" t="n">
        <v>243.1167</v>
      </c>
      <c r="F20" s="17" t="n">
        <f aca="false">(D20-D$28)/SQRT(E20^2/$H20+E$28^2/$H$28)</f>
        <v>-1.42259752882874</v>
      </c>
      <c r="G20" s="16"/>
      <c r="H20" s="19" t="n">
        <v>43</v>
      </c>
    </row>
    <row r="21" customFormat="false" ht="14.65" hidden="false" customHeight="false" outlineLevel="0" collapsed="false">
      <c r="A21" s="14" t="s">
        <v>18</v>
      </c>
      <c r="B21" s="15" t="s">
        <v>21</v>
      </c>
      <c r="C21" s="16" t="s">
        <v>16</v>
      </c>
      <c r="D21" s="14" t="n">
        <v>288.7593</v>
      </c>
      <c r="E21" s="15" t="n">
        <v>275.5628</v>
      </c>
      <c r="F21" s="17" t="n">
        <f aca="false">(D21-D$28)/SQRT(E21^2/$H21+E$28^2/$H$28)</f>
        <v>1.99891679286053</v>
      </c>
      <c r="G21" s="18" t="n">
        <f aca="false">(D21-D22)/SQRT(E21^2/$H21+E22^2/$H22)</f>
        <v>2.33763245268005</v>
      </c>
      <c r="H21" s="19" t="n">
        <v>378</v>
      </c>
    </row>
    <row r="22" customFormat="false" ht="14.65" hidden="false" customHeight="false" outlineLevel="0" collapsed="false">
      <c r="A22" s="20" t="s">
        <v>18</v>
      </c>
      <c r="B22" s="21" t="s">
        <v>21</v>
      </c>
      <c r="C22" s="22" t="s">
        <v>17</v>
      </c>
      <c r="D22" s="20" t="n">
        <v>242.6264</v>
      </c>
      <c r="E22" s="21" t="n">
        <v>256.1752</v>
      </c>
      <c r="F22" s="23" t="n">
        <f aca="false">(D22-D$28)/SQRT(E22^2/$H22+E$28^2/$H$28)</f>
        <v>-1.22166247872435</v>
      </c>
      <c r="G22" s="22"/>
      <c r="H22" s="24" t="n">
        <v>348</v>
      </c>
    </row>
    <row r="23" customFormat="false" ht="14.65" hidden="false" customHeight="false" outlineLevel="0" collapsed="false">
      <c r="A23" s="14" t="s">
        <v>14</v>
      </c>
      <c r="B23" s="15" t="s">
        <v>22</v>
      </c>
      <c r="C23" s="16" t="s">
        <v>16</v>
      </c>
      <c r="D23" s="14" t="n">
        <v>0</v>
      </c>
      <c r="E23" s="15" t="n">
        <v>0</v>
      </c>
      <c r="F23" s="17" t="n">
        <f aca="false">(D23-D$28)/SQRT(E23^2/$H23+E$28^2/$H$28)</f>
        <v>-86.5288912972798</v>
      </c>
      <c r="G23" s="31" t="s">
        <v>27</v>
      </c>
      <c r="H23" s="19" t="n">
        <v>13</v>
      </c>
    </row>
    <row r="24" customFormat="false" ht="14.65" hidden="false" customHeight="false" outlineLevel="0" collapsed="false">
      <c r="A24" s="14" t="s">
        <v>14</v>
      </c>
      <c r="B24" s="15" t="s">
        <v>22</v>
      </c>
      <c r="C24" s="16" t="s">
        <v>17</v>
      </c>
      <c r="D24" s="14" t="n">
        <v>0</v>
      </c>
      <c r="E24" s="15" t="n">
        <v>0</v>
      </c>
      <c r="F24" s="17" t="n">
        <f aca="false">(D24-D$28)/SQRT(E24^2/$H24+E$28^2/$H$28)</f>
        <v>-86.5288912972798</v>
      </c>
      <c r="G24" s="16"/>
      <c r="H24" s="19" t="n">
        <v>11</v>
      </c>
    </row>
    <row r="25" customFormat="false" ht="14.65" hidden="false" customHeight="false" outlineLevel="0" collapsed="false">
      <c r="A25" s="14" t="s">
        <v>18</v>
      </c>
      <c r="B25" s="15" t="s">
        <v>22</v>
      </c>
      <c r="C25" s="16" t="s">
        <v>16</v>
      </c>
      <c r="D25" s="14" t="n">
        <v>135.0153</v>
      </c>
      <c r="E25" s="15" t="n">
        <v>230.0708</v>
      </c>
      <c r="F25" s="17" t="n">
        <f aca="false">(D25-D$28)/SQRT(E25^2/$H25+E$28^2/$H$28)</f>
        <v>-7.46955480698375</v>
      </c>
      <c r="G25" s="18" t="n">
        <f aca="false">(D25-D26)/SQRT(E25^2/$H25+E26^2/$H26)</f>
        <v>-0.164702982960758</v>
      </c>
      <c r="H25" s="19" t="n">
        <v>196</v>
      </c>
    </row>
    <row r="26" customFormat="false" ht="14.65" hidden="false" customHeight="false" outlineLevel="0" collapsed="false">
      <c r="A26" s="25" t="s">
        <v>18</v>
      </c>
      <c r="B26" s="26" t="s">
        <v>22</v>
      </c>
      <c r="C26" s="27" t="s">
        <v>17</v>
      </c>
      <c r="D26" s="25" t="n">
        <v>138.6943</v>
      </c>
      <c r="E26" s="26" t="n">
        <v>228.9427</v>
      </c>
      <c r="F26" s="28" t="n">
        <f aca="false">(D26-D$28)/SQRT(E26^2/$H26+E$28^2/$H$28)</f>
        <v>-7.8517054431048</v>
      </c>
      <c r="G26" s="27"/>
      <c r="H26" s="29" t="n">
        <v>229</v>
      </c>
    </row>
    <row r="27" customFormat="false" ht="14.65" hidden="false" customHeight="false" outlineLevel="0" collapsed="false">
      <c r="A27" s="14"/>
      <c r="B27" s="15"/>
      <c r="C27" s="30"/>
      <c r="D27" s="14"/>
      <c r="E27" s="15"/>
      <c r="F27" s="15"/>
      <c r="G27" s="16"/>
      <c r="H27" s="19"/>
    </row>
    <row r="28" customFormat="false" ht="14.65" hidden="false" customHeight="false" outlineLevel="0" collapsed="false">
      <c r="A28" s="25"/>
      <c r="B28" s="26"/>
      <c r="C28" s="27" t="s">
        <v>23</v>
      </c>
      <c r="D28" s="25" t="n">
        <v>259.7991</v>
      </c>
      <c r="E28" s="26" t="n">
        <v>271.2033</v>
      </c>
      <c r="F28" s="26"/>
      <c r="G28" s="27"/>
      <c r="H28" s="29" t="n">
        <v>8159</v>
      </c>
    </row>
    <row r="29" customFormat="false" ht="14.65" hidden="false" customHeight="false" outlineLevel="0" collapsed="false">
      <c r="A29" s="1"/>
      <c r="B29" s="1"/>
      <c r="D29" s="1"/>
      <c r="E29" s="1"/>
      <c r="F29" s="1"/>
      <c r="G29" s="1"/>
      <c r="H29" s="1"/>
    </row>
    <row r="30" customFormat="false" ht="14.65" hidden="false" customHeight="false" outlineLevel="0" collapsed="false">
      <c r="A30" s="1"/>
      <c r="B30" s="1"/>
      <c r="D30" s="1"/>
      <c r="E30" s="1"/>
      <c r="F30" s="1"/>
      <c r="G30" s="1"/>
      <c r="H30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X30 A1:X30"/>
    </sheetView>
  </sheetViews>
  <sheetFormatPr defaultColWidth="10.70703125" defaultRowHeight="14.65" customHeight="false" zeroHeight="false" outlineLevelRow="0" outlineLevelCol="0"/>
  <cols>
    <col collapsed="false" customWidth="true" hidden="false" outlineLevel="0" max="1" min="1" style="1" width="9.57"/>
    <col collapsed="false" customWidth="true" hidden="false" outlineLevel="0" max="2" min="2" style="1" width="8.14"/>
    <col collapsed="false" customWidth="true" hidden="false" outlineLevel="0" max="3" min="3" style="1" width="10.99"/>
    <col collapsed="false" customWidth="true" hidden="false" outlineLevel="0" max="4" min="4" style="1" width="9.71"/>
    <col collapsed="false" customWidth="true" hidden="false" outlineLevel="0" max="5" min="5" style="1" width="7.14"/>
    <col collapsed="false" customWidth="true" hidden="false" outlineLevel="0" max="6" min="6" style="1" width="10.14"/>
    <col collapsed="false" customWidth="true" hidden="false" outlineLevel="0" max="7" min="7" style="1" width="9.85"/>
    <col collapsed="false" customWidth="true" hidden="false" outlineLevel="0" max="8" min="8" style="1" width="9.99"/>
    <col collapsed="false" customWidth="true" hidden="false" outlineLevel="0" max="9" min="9" style="1" width="7.14"/>
    <col collapsed="false" customWidth="true" hidden="false" outlineLevel="0" max="10" min="10" style="1" width="10.14"/>
    <col collapsed="false" customWidth="true" hidden="false" outlineLevel="0" max="11" min="11" style="1" width="9.28"/>
    <col collapsed="false" customWidth="true" hidden="false" outlineLevel="0" max="12" min="12" style="1" width="9.42"/>
    <col collapsed="false" customWidth="true" hidden="false" outlineLevel="0" max="13" min="13" style="1" width="7.14"/>
    <col collapsed="false" customWidth="true" hidden="false" outlineLevel="0" max="14" min="14" style="1" width="9.42"/>
    <col collapsed="false" customWidth="true" hidden="false" outlineLevel="0" max="15" min="15" style="1" width="9.71"/>
    <col collapsed="false" customWidth="true" hidden="false" outlineLevel="0" max="16" min="16" style="1" width="9.28"/>
    <col collapsed="false" customWidth="true" hidden="false" outlineLevel="0" max="17" min="17" style="1" width="7.14"/>
    <col collapsed="false" customWidth="true" hidden="false" outlineLevel="0" max="18" min="18" style="1" width="9.99"/>
    <col collapsed="false" customWidth="true" hidden="false" outlineLevel="0" max="19" min="19" style="1" width="9.57"/>
    <col collapsed="false" customWidth="true" hidden="false" outlineLevel="0" max="20" min="20" style="1" width="9.28"/>
    <col collapsed="false" customWidth="true" hidden="false" outlineLevel="0" max="21" min="21" style="1" width="7.14"/>
    <col collapsed="false" customWidth="true" hidden="false" outlineLevel="0" max="23" min="22" style="1" width="9.57"/>
    <col collapsed="false" customWidth="true" hidden="false" outlineLevel="0" max="24" min="24" style="1" width="5.42"/>
    <col collapsed="false" customWidth="false" hidden="false" outlineLevel="0" max="257" min="25" style="1" width="10.71"/>
  </cols>
  <sheetData>
    <row r="1" customFormat="false" ht="14.65" hidden="false" customHeight="false" outlineLevel="0" collapsed="false">
      <c r="A1" s="1" t="s">
        <v>0</v>
      </c>
    </row>
    <row r="3" customFormat="false" ht="14.65" hidden="false" customHeight="false" outlineLevel="0" collapsed="false">
      <c r="A3" s="2"/>
      <c r="B3" s="3"/>
      <c r="C3" s="4"/>
      <c r="D3" s="2" t="s">
        <v>28</v>
      </c>
      <c r="E3" s="3"/>
      <c r="F3" s="3"/>
      <c r="G3" s="4"/>
      <c r="H3" s="2" t="s">
        <v>26</v>
      </c>
      <c r="I3" s="3"/>
      <c r="J3" s="3"/>
      <c r="K3" s="4"/>
      <c r="L3" s="2" t="s">
        <v>25</v>
      </c>
      <c r="M3" s="3"/>
      <c r="N3" s="3"/>
      <c r="O3" s="4"/>
      <c r="P3" s="2" t="s">
        <v>24</v>
      </c>
      <c r="Q3" s="3"/>
      <c r="R3" s="3"/>
      <c r="S3" s="4"/>
      <c r="T3" s="2" t="s">
        <v>1</v>
      </c>
      <c r="U3" s="3"/>
      <c r="V3" s="3"/>
      <c r="W3" s="4"/>
      <c r="X3" s="5"/>
    </row>
    <row r="4" customFormat="false" ht="14.65" hidden="false" customHeight="false" outlineLevel="0" collapsed="false">
      <c r="A4" s="6"/>
      <c r="B4" s="7"/>
      <c r="C4" s="8"/>
      <c r="D4" s="6"/>
      <c r="E4" s="7"/>
      <c r="F4" s="7" t="s">
        <v>2</v>
      </c>
      <c r="G4" s="7" t="s">
        <v>2</v>
      </c>
      <c r="H4" s="6"/>
      <c r="I4" s="7"/>
      <c r="J4" s="7" t="s">
        <v>2</v>
      </c>
      <c r="K4" s="7" t="s">
        <v>2</v>
      </c>
      <c r="L4" s="6"/>
      <c r="M4" s="7"/>
      <c r="N4" s="7" t="s">
        <v>2</v>
      </c>
      <c r="O4" s="7" t="s">
        <v>2</v>
      </c>
      <c r="P4" s="6"/>
      <c r="Q4" s="7"/>
      <c r="R4" s="7" t="s">
        <v>2</v>
      </c>
      <c r="S4" s="7" t="s">
        <v>2</v>
      </c>
      <c r="T4" s="6"/>
      <c r="U4" s="7"/>
      <c r="V4" s="7" t="s">
        <v>2</v>
      </c>
      <c r="W4" s="7" t="s">
        <v>2</v>
      </c>
      <c r="X4" s="9"/>
    </row>
    <row r="5" customFormat="false" ht="14.65" hidden="false" customHeight="false" outlineLevel="0" collapsed="false">
      <c r="A5" s="6" t="s">
        <v>3</v>
      </c>
      <c r="B5" s="7" t="s">
        <v>4</v>
      </c>
      <c r="C5" s="8" t="s">
        <v>5</v>
      </c>
      <c r="D5" s="6" t="s">
        <v>6</v>
      </c>
      <c r="E5" s="7" t="s">
        <v>7</v>
      </c>
      <c r="F5" s="7" t="s">
        <v>8</v>
      </c>
      <c r="G5" s="7" t="s">
        <v>8</v>
      </c>
      <c r="H5" s="6" t="s">
        <v>6</v>
      </c>
      <c r="I5" s="7" t="s">
        <v>7</v>
      </c>
      <c r="J5" s="7" t="s">
        <v>8</v>
      </c>
      <c r="K5" s="7" t="s">
        <v>8</v>
      </c>
      <c r="L5" s="6" t="s">
        <v>6</v>
      </c>
      <c r="M5" s="7" t="s">
        <v>7</v>
      </c>
      <c r="N5" s="7" t="s">
        <v>8</v>
      </c>
      <c r="O5" s="7" t="s">
        <v>8</v>
      </c>
      <c r="P5" s="6" t="s">
        <v>6</v>
      </c>
      <c r="Q5" s="7" t="s">
        <v>7</v>
      </c>
      <c r="R5" s="7" t="s">
        <v>8</v>
      </c>
      <c r="S5" s="7" t="s">
        <v>8</v>
      </c>
      <c r="T5" s="6" t="s">
        <v>6</v>
      </c>
      <c r="U5" s="7" t="s">
        <v>7</v>
      </c>
      <c r="V5" s="7" t="s">
        <v>8</v>
      </c>
      <c r="W5" s="7" t="s">
        <v>8</v>
      </c>
      <c r="X5" s="9" t="s">
        <v>9</v>
      </c>
    </row>
    <row r="6" customFormat="false" ht="14.65" hidden="false" customHeight="false" outlineLevel="0" collapsed="false">
      <c r="A6" s="10" t="s">
        <v>10</v>
      </c>
      <c r="B6" s="11" t="s">
        <v>11</v>
      </c>
      <c r="C6" s="12"/>
      <c r="D6" s="10"/>
      <c r="E6" s="11"/>
      <c r="F6" s="11" t="s">
        <v>12</v>
      </c>
      <c r="G6" s="12" t="s">
        <v>13</v>
      </c>
      <c r="H6" s="10"/>
      <c r="I6" s="11"/>
      <c r="J6" s="11" t="s">
        <v>12</v>
      </c>
      <c r="K6" s="12" t="s">
        <v>13</v>
      </c>
      <c r="L6" s="10"/>
      <c r="M6" s="11"/>
      <c r="N6" s="11" t="s">
        <v>12</v>
      </c>
      <c r="O6" s="12" t="s">
        <v>13</v>
      </c>
      <c r="P6" s="10"/>
      <c r="Q6" s="11"/>
      <c r="R6" s="11" t="s">
        <v>12</v>
      </c>
      <c r="S6" s="12" t="s">
        <v>13</v>
      </c>
      <c r="T6" s="10"/>
      <c r="U6" s="11"/>
      <c r="V6" s="11" t="s">
        <v>12</v>
      </c>
      <c r="W6" s="12" t="s">
        <v>13</v>
      </c>
      <c r="X6" s="13"/>
    </row>
    <row r="7" customFormat="false" ht="14.65" hidden="false" customHeight="false" outlineLevel="0" collapsed="false">
      <c r="A7" s="14" t="s">
        <v>14</v>
      </c>
      <c r="B7" s="15" t="s">
        <v>15</v>
      </c>
      <c r="C7" s="16" t="s">
        <v>16</v>
      </c>
      <c r="D7" s="14" t="n">
        <v>932.964</v>
      </c>
      <c r="E7" s="15" t="n">
        <v>269.6432</v>
      </c>
      <c r="F7" s="17" t="n">
        <f aca="false">(D7-D$28)/SQRT(E7^2/$X7+E$28^2/$X$28)</f>
        <v>-3.40325262241707</v>
      </c>
      <c r="G7" s="18" t="n">
        <f aca="false">(D7-D8)/SQRT(E7^2/$X7+E8^2/$X8)</f>
        <v>-1.8781489395677</v>
      </c>
      <c r="H7" s="14" t="n">
        <v>291.8348</v>
      </c>
      <c r="I7" s="15" t="n">
        <v>270.0007</v>
      </c>
      <c r="J7" s="17" t="n">
        <f aca="false">(H7-H$28)/SQRT(I7^2/$X7+I$28^2/$X$28)</f>
        <v>2.12191952742562</v>
      </c>
      <c r="K7" s="18" t="n">
        <f aca="false">(H7-H8)/SQRT(I7^2/$X7+I8^2/$X8)</f>
        <v>1.88170692838349</v>
      </c>
      <c r="L7" s="14" t="n">
        <v>16.03</v>
      </c>
      <c r="M7" s="15" t="n">
        <v>46.2274</v>
      </c>
      <c r="N7" s="17" t="n">
        <f aca="false">(L7-L$28)/SQRT(M7^2/$X7+M$28^2/$X$28)</f>
        <v>-2.01667936248225</v>
      </c>
      <c r="O7" s="18" t="n">
        <f aca="false">(L7-L8)/SQRT(M7^2/$X7+M8^2/$X8)</f>
        <v>-2.9455696319782</v>
      </c>
      <c r="P7" s="14" t="n">
        <v>127.6036</v>
      </c>
      <c r="Q7" s="15" t="n">
        <v>177.5547</v>
      </c>
      <c r="R7" s="17" t="n">
        <f aca="false">(P7-P$28)/SQRT(Q7^2/$X7+Q$28^2/$X$28)</f>
        <v>1.79011721300509</v>
      </c>
      <c r="S7" s="18" t="n">
        <f aca="false">(P7-P8)/SQRT(Q7^2/$X7+Q8^2/$X8)</f>
        <v>0.523884339940721</v>
      </c>
      <c r="T7" s="14" t="n">
        <v>71.5676</v>
      </c>
      <c r="U7" s="15" t="n">
        <v>73.6935</v>
      </c>
      <c r="V7" s="17" t="n">
        <f aca="false">(T7-T$28)/SQRT(U7^2/$X7+U$28^2/$X$28)</f>
        <v>1.64549797999402</v>
      </c>
      <c r="W7" s="18" t="n">
        <f aca="false">(T7-T8)/SQRT(U7^2/$X7+U8^2/$X8)</f>
        <v>1.11355600760918</v>
      </c>
      <c r="X7" s="19" t="n">
        <v>333</v>
      </c>
    </row>
    <row r="8" customFormat="false" ht="14.65" hidden="false" customHeight="false" outlineLevel="0" collapsed="false">
      <c r="A8" s="14" t="s">
        <v>14</v>
      </c>
      <c r="B8" s="15" t="s">
        <v>15</v>
      </c>
      <c r="C8" s="16" t="s">
        <v>17</v>
      </c>
      <c r="D8" s="14" t="n">
        <v>971.0494</v>
      </c>
      <c r="E8" s="15" t="n">
        <v>249.9752</v>
      </c>
      <c r="F8" s="17" t="n">
        <f aca="false">(D8-D$28)/SQRT(E8^2/$X8+E$28^2/$X$28)</f>
        <v>-0.926088982659552</v>
      </c>
      <c r="G8" s="16"/>
      <c r="H8" s="14" t="n">
        <v>252.7284</v>
      </c>
      <c r="I8" s="15" t="n">
        <v>262.6942</v>
      </c>
      <c r="J8" s="17" t="n">
        <f aca="false">(H8-H$28)/SQRT(I8^2/$X8+I$28^2/$X$28)</f>
        <v>-0.474550956658238</v>
      </c>
      <c r="K8" s="16"/>
      <c r="L8" s="14" t="n">
        <v>29.5679</v>
      </c>
      <c r="M8" s="15" t="n">
        <v>69.0273</v>
      </c>
      <c r="N8" s="17" t="n">
        <f aca="false">(L8-L$28)/SQRT(M8^2/$X8+M$28^2/$X$28)</f>
        <v>2.13040142279936</v>
      </c>
      <c r="O8" s="16"/>
      <c r="P8" s="14" t="n">
        <v>120.7809</v>
      </c>
      <c r="Q8" s="15" t="n">
        <v>155.8165</v>
      </c>
      <c r="R8" s="17" t="n">
        <f aca="false">(P8-P$28)/SQRT(Q8^2/$X8+Q$28^2/$X$28)</f>
        <v>1.23135528190891</v>
      </c>
      <c r="S8" s="16"/>
      <c r="T8" s="14" t="n">
        <v>65.8735</v>
      </c>
      <c r="U8" s="15" t="n">
        <v>56.4602</v>
      </c>
      <c r="V8" s="17" t="n">
        <f aca="false">(T8-T$28)/SQRT(U8^2/$X8+U$28^2/$X$28)</f>
        <v>0.326048566174896</v>
      </c>
      <c r="W8" s="16"/>
      <c r="X8" s="19" t="n">
        <v>324</v>
      </c>
    </row>
    <row r="9" customFormat="false" ht="14.65" hidden="false" customHeight="false" outlineLevel="0" collapsed="false">
      <c r="A9" s="14" t="s">
        <v>18</v>
      </c>
      <c r="B9" s="15" t="s">
        <v>15</v>
      </c>
      <c r="C9" s="16" t="s">
        <v>16</v>
      </c>
      <c r="D9" s="14" t="n">
        <v>942.7871</v>
      </c>
      <c r="E9" s="15" t="n">
        <v>261.0712</v>
      </c>
      <c r="F9" s="17" t="n">
        <f aca="false">(D9-D$28)/SQRT(E9^2/$X9+E$28^2/$X$28)</f>
        <v>-5.63804194962007</v>
      </c>
      <c r="G9" s="18" t="n">
        <f aca="false">(D9-D10)/SQRT(E9^2/$X9+E10^2/$X10)</f>
        <v>-4.09292082730439</v>
      </c>
      <c r="H9" s="14" t="n">
        <v>305.2371</v>
      </c>
      <c r="I9" s="15" t="n">
        <v>283.4445</v>
      </c>
      <c r="J9" s="17" t="n">
        <f aca="false">(H9-H$28)/SQRT(I9^2/$X9+I$28^2/$X$28)</f>
        <v>5.72597077237273</v>
      </c>
      <c r="K9" s="18" t="n">
        <f aca="false">(H9-H10)/SQRT(I9^2/$X9+I10^2/$X10)</f>
        <v>4.97187512772944</v>
      </c>
      <c r="L9" s="14" t="n">
        <v>15.6803</v>
      </c>
      <c r="M9" s="15" t="n">
        <v>49.313</v>
      </c>
      <c r="N9" s="17" t="n">
        <f aca="false">(L9-L$28)/SQRT(M9^2/$X9+M$28^2/$X$28)</f>
        <v>-3.94633896816525</v>
      </c>
      <c r="O9" s="18" t="n">
        <f aca="false">(L9-L10)/SQRT(M9^2/$X9+M10^2/$X10)</f>
        <v>-4.51612348956782</v>
      </c>
      <c r="P9" s="14" t="n">
        <v>109.4862</v>
      </c>
      <c r="Q9" s="15" t="n">
        <v>163.5293</v>
      </c>
      <c r="R9" s="17" t="n">
        <f aca="false">(P9-P$28)/SQRT(Q9^2/$X9+Q$28^2/$X$28)</f>
        <v>-0.0913081996161345</v>
      </c>
      <c r="S9" s="18" t="n">
        <f aca="false">(P9-P10)/SQRT(Q9^2/$X9+Q10^2/$X10)</f>
        <v>-0.698823163608739</v>
      </c>
      <c r="T9" s="14" t="n">
        <v>66.8093</v>
      </c>
      <c r="U9" s="15" t="n">
        <v>60.8595</v>
      </c>
      <c r="V9" s="17" t="n">
        <f aca="false">(T9-T$28)/SQRT(U9^2/$X9+U$28^2/$X$28)</f>
        <v>1.15207395310967</v>
      </c>
      <c r="W9" s="18" t="n">
        <f aca="false">(T9-T10)/SQRT(U9^2/$X9+U10^2/$X10)</f>
        <v>0.820842430331253</v>
      </c>
      <c r="X9" s="19" t="n">
        <v>1489</v>
      </c>
    </row>
    <row r="10" customFormat="false" ht="14.65" hidden="false" customHeight="false" outlineLevel="0" collapsed="false">
      <c r="A10" s="20" t="s">
        <v>18</v>
      </c>
      <c r="B10" s="21" t="s">
        <v>15</v>
      </c>
      <c r="C10" s="22" t="s">
        <v>17</v>
      </c>
      <c r="D10" s="20" t="n">
        <v>981.7994</v>
      </c>
      <c r="E10" s="21" t="n">
        <v>248.5998</v>
      </c>
      <c r="F10" s="23" t="n">
        <f aca="false">(D10-D$28)/SQRT(E10^2/$X10+E$28^2/$X$28)</f>
        <v>-0.326178550248363</v>
      </c>
      <c r="G10" s="22"/>
      <c r="H10" s="20" t="n">
        <v>254.6018</v>
      </c>
      <c r="I10" s="21" t="n">
        <v>261.2038</v>
      </c>
      <c r="J10" s="23" t="n">
        <f aca="false">(H10-H$28)/SQRT(I10^2/$X10+I$28^2/$X$28)</f>
        <v>-0.67789904398799</v>
      </c>
      <c r="K10" s="22"/>
      <c r="L10" s="20" t="n">
        <v>24.9241</v>
      </c>
      <c r="M10" s="21" t="n">
        <v>59.2017</v>
      </c>
      <c r="N10" s="23" t="n">
        <f aca="false">(L10-L$28)/SQRT(M10^2/$X10+M$28^2/$X$28)</f>
        <v>2.11720328560887</v>
      </c>
      <c r="O10" s="22"/>
      <c r="P10" s="20" t="n">
        <v>113.7228</v>
      </c>
      <c r="Q10" s="21" t="n">
        <v>160.5199</v>
      </c>
      <c r="R10" s="23" t="n">
        <f aca="false">(P10-P$28)/SQRT(Q10^2/$X10+Q$28^2/$X$28)</f>
        <v>0.816337099107676</v>
      </c>
      <c r="S10" s="22"/>
      <c r="T10" s="20" t="n">
        <v>64.9519</v>
      </c>
      <c r="U10" s="21" t="n">
        <v>60.0792</v>
      </c>
      <c r="V10" s="23" t="n">
        <f aca="false">(T10-T$28)/SQRT(U10^2/$X10+U$28^2/$X$28)</f>
        <v>0.0711914901040488</v>
      </c>
      <c r="W10" s="22"/>
      <c r="X10" s="24" t="n">
        <v>1371</v>
      </c>
    </row>
    <row r="11" customFormat="false" ht="14.65" hidden="false" customHeight="false" outlineLevel="0" collapsed="false">
      <c r="A11" s="14" t="s">
        <v>14</v>
      </c>
      <c r="B11" s="15" t="s">
        <v>19</v>
      </c>
      <c r="C11" s="16" t="s">
        <v>16</v>
      </c>
      <c r="D11" s="14" t="n">
        <v>1154</v>
      </c>
      <c r="E11" s="15" t="n">
        <v>305.3961</v>
      </c>
      <c r="F11" s="17" t="n">
        <f aca="false">(D11-D$28)/SQRT(E11^2/$X11+E$28^2/$X$28)</f>
        <v>1.36173115941032</v>
      </c>
      <c r="G11" s="18" t="n">
        <f aca="false">(D11-D12)/SQRT(E11^2/$X11+E12^2/$X12)</f>
        <v>0.892656788051314</v>
      </c>
      <c r="H11" s="14" t="n">
        <v>132.5</v>
      </c>
      <c r="I11" s="15" t="n">
        <v>217.2499</v>
      </c>
      <c r="J11" s="17" t="n">
        <f aca="false">(H11-H$28)/SQRT(I11^2/$X11+I$28^2/$X$28)</f>
        <v>-1.43447394600713</v>
      </c>
      <c r="K11" s="18" t="n">
        <f aca="false">(H11-H12)/SQRT(I11^2/$X11+I12^2/$X12)</f>
        <v>-0.512346464117798</v>
      </c>
      <c r="L11" s="14" t="n">
        <v>15.5</v>
      </c>
      <c r="M11" s="15" t="n">
        <v>20.3347</v>
      </c>
      <c r="N11" s="17" t="n">
        <f aca="false">(L11-L$28)/SQRT(M11^2/$X11+M$28^2/$X$28)</f>
        <v>-0.695619351446904</v>
      </c>
      <c r="O11" s="18" t="n">
        <f aca="false">(L11-L12)/SQRT(M11^2/$X11+M12^2/$X12)</f>
        <v>-1.02610008442859</v>
      </c>
      <c r="P11" s="14" t="n">
        <v>110.6667</v>
      </c>
      <c r="Q11" s="15" t="n">
        <v>171.612</v>
      </c>
      <c r="R11" s="17" t="n">
        <f aca="false">(P11-P$28)/SQRT(Q11^2/$X11+Q$28^2/$X$28)</f>
        <v>0.0108686550761691</v>
      </c>
      <c r="S11" s="18" t="n">
        <f aca="false">(P11-P12)/SQRT(Q11^2/$X11+Q12^2/$X12)</f>
        <v>-0.321304361610953</v>
      </c>
      <c r="T11" s="14" t="n">
        <v>27.3333</v>
      </c>
      <c r="U11" s="15" t="n">
        <v>31.4113</v>
      </c>
      <c r="V11" s="17" t="n">
        <f aca="false">(T11-T$28)/SQRT(U11^2/$X11+U$28^2/$X$28)</f>
        <v>-2.91954307402441</v>
      </c>
      <c r="W11" s="18" t="n">
        <f aca="false">(T11-T12)/SQRT(U11^2/$X11+U12^2/$X12)</f>
        <v>-2.34435244242965</v>
      </c>
      <c r="X11" s="19" t="n">
        <v>6</v>
      </c>
    </row>
    <row r="12" customFormat="false" ht="14.65" hidden="false" customHeight="false" outlineLevel="0" collapsed="false">
      <c r="A12" s="14" t="s">
        <v>14</v>
      </c>
      <c r="B12" s="15" t="s">
        <v>19</v>
      </c>
      <c r="C12" s="16" t="s">
        <v>17</v>
      </c>
      <c r="D12" s="14" t="n">
        <v>1039.9359</v>
      </c>
      <c r="E12" s="15" t="n">
        <v>247.1922</v>
      </c>
      <c r="F12" s="17" t="n">
        <f aca="false">(D12-D$28)/SQRT(E12^2/$X12+E$28^2/$X$28)</f>
        <v>1.98187008199933</v>
      </c>
      <c r="G12" s="16"/>
      <c r="H12" s="14" t="n">
        <v>180.1795</v>
      </c>
      <c r="I12" s="15" t="n">
        <v>248.878</v>
      </c>
      <c r="J12" s="17" t="n">
        <f aca="false">(H12-H$28)/SQRT(I12^2/$X12+I$28^2/$X$28)</f>
        <v>-2.80950366799047</v>
      </c>
      <c r="K12" s="16"/>
      <c r="L12" s="14" t="n">
        <v>25.5897</v>
      </c>
      <c r="M12" s="15" t="n">
        <v>46.5429</v>
      </c>
      <c r="N12" s="17" t="n">
        <f aca="false">(L12-L$28)/SQRT(M12^2/$X12+M$28^2/$X$28)</f>
        <v>0.810059031861267</v>
      </c>
      <c r="O12" s="16"/>
      <c r="P12" s="14" t="n">
        <v>133.9103</v>
      </c>
      <c r="Q12" s="15" t="n">
        <v>159.1748</v>
      </c>
      <c r="R12" s="17" t="n">
        <f aca="false">(P12-P$28)/SQRT(Q12^2/$X12+Q$28^2/$X$28)</f>
        <v>1.32566029227519</v>
      </c>
      <c r="S12" s="16"/>
      <c r="T12" s="14" t="n">
        <v>60.3846</v>
      </c>
      <c r="U12" s="15" t="n">
        <v>51.7364</v>
      </c>
      <c r="V12" s="17" t="n">
        <f aca="false">(T12-T$28)/SQRT(U12^2/$X12+U$28^2/$X$28)</f>
        <v>-0.753053242891821</v>
      </c>
      <c r="W12" s="16"/>
      <c r="X12" s="19" t="n">
        <v>78</v>
      </c>
    </row>
    <row r="13" customFormat="false" ht="14.65" hidden="false" customHeight="false" outlineLevel="0" collapsed="false">
      <c r="A13" s="14" t="s">
        <v>18</v>
      </c>
      <c r="B13" s="15" t="s">
        <v>19</v>
      </c>
      <c r="C13" s="16" t="s">
        <v>16</v>
      </c>
      <c r="D13" s="14" t="n">
        <v>931.7864</v>
      </c>
      <c r="E13" s="15" t="n">
        <v>248.8447</v>
      </c>
      <c r="F13" s="17" t="n">
        <f aca="false">(D13-D$28)/SQRT(E13^2/$X13+E$28^2/$X$28)</f>
        <v>-5.97051575283651</v>
      </c>
      <c r="G13" s="18" t="n">
        <f aca="false">(D13-D14)/SQRT(E13^2/$X13+E14^2/$X14)</f>
        <v>-12.8799008016832</v>
      </c>
      <c r="H13" s="14" t="n">
        <v>341.0011</v>
      </c>
      <c r="I13" s="15" t="n">
        <v>279.7634</v>
      </c>
      <c r="J13" s="17" t="n">
        <f aca="false">(H13-H$28)/SQRT(I13^2/$X13+I$28^2/$X$28)</f>
        <v>8.2843906101181</v>
      </c>
      <c r="K13" s="18" t="n">
        <f aca="false">(H13-H14)/SQRT(I13^2/$X13+I14^2/$X14)</f>
        <v>14.8126826774162</v>
      </c>
      <c r="L13" s="14" t="n">
        <v>13.1068</v>
      </c>
      <c r="M13" s="15" t="n">
        <v>44.4226</v>
      </c>
      <c r="N13" s="17" t="n">
        <f aca="false">(L13-L$28)/SQRT(M13^2/$X13+M$28^2/$X$28)</f>
        <v>-5.09202528183474</v>
      </c>
      <c r="O13" s="18" t="n">
        <f aca="false">(L13-L14)/SQRT(M13^2/$X13+M14^2/$X14)</f>
        <v>-6.328386109306</v>
      </c>
      <c r="P13" s="14" t="n">
        <v>86.1924</v>
      </c>
      <c r="Q13" s="15" t="n">
        <v>139.0678</v>
      </c>
      <c r="R13" s="17" t="n">
        <f aca="false">(P13-P$28)/SQRT(Q13^2/$X13+Q$28^2/$X$28)</f>
        <v>-4.78184304220546</v>
      </c>
      <c r="S13" s="18" t="n">
        <f aca="false">(P13-P14)/SQRT(Q13^2/$X13+Q14^2/$X14)</f>
        <v>-3.52406661368613</v>
      </c>
      <c r="T13" s="14" t="n">
        <v>67.9132</v>
      </c>
      <c r="U13" s="15" t="n">
        <v>63.3566</v>
      </c>
      <c r="V13" s="17" t="n">
        <f aca="false">(T13-T$28)/SQRT(U13^2/$X13+U$28^2/$X$28)</f>
        <v>1.38882916714669</v>
      </c>
      <c r="W13" s="18" t="n">
        <f aca="false">(T13-T14)/SQRT(U13^2/$X13+U14^2/$X14)</f>
        <v>3.96583170479887</v>
      </c>
      <c r="X13" s="19" t="n">
        <v>899</v>
      </c>
    </row>
    <row r="14" customFormat="false" ht="14.65" hidden="false" customHeight="false" outlineLevel="0" collapsed="false">
      <c r="A14" s="20" t="s">
        <v>18</v>
      </c>
      <c r="B14" s="21" t="s">
        <v>19</v>
      </c>
      <c r="C14" s="22" t="s">
        <v>17</v>
      </c>
      <c r="D14" s="20" t="n">
        <v>1083.9807</v>
      </c>
      <c r="E14" s="21" t="n">
        <v>241.884</v>
      </c>
      <c r="F14" s="23" t="n">
        <f aca="false">(D14-D$28)/SQRT(E14^2/$X14+E$28^2/$X$28)</f>
        <v>11.2379076154339</v>
      </c>
      <c r="G14" s="22"/>
      <c r="H14" s="20" t="n">
        <v>157.6409</v>
      </c>
      <c r="I14" s="21" t="n">
        <v>233.9267</v>
      </c>
      <c r="J14" s="23" t="n">
        <f aca="false">(H14-H$28)/SQRT(I14^2/$X14+I$28^2/$X$28)</f>
        <v>-11.7817959758286</v>
      </c>
      <c r="K14" s="22"/>
      <c r="L14" s="20" t="n">
        <v>31.2019</v>
      </c>
      <c r="M14" s="21" t="n">
        <v>70.3289</v>
      </c>
      <c r="N14" s="23" t="n">
        <f aca="false">(L14-L$28)/SQRT(M14^2/$X14+M$28^2/$X$28)</f>
        <v>3.92713462083773</v>
      </c>
      <c r="O14" s="22"/>
      <c r="P14" s="20" t="n">
        <v>110.3096</v>
      </c>
      <c r="Q14" s="21" t="n">
        <v>144.7106</v>
      </c>
      <c r="R14" s="23" t="n">
        <f aca="false">(P14-P$28)/SQRT(Q14^2/$X14+Q$28^2/$X$28)</f>
        <v>0.0759222019888837</v>
      </c>
      <c r="S14" s="22"/>
      <c r="T14" s="20" t="n">
        <v>56.867</v>
      </c>
      <c r="U14" s="21" t="n">
        <v>52.1862</v>
      </c>
      <c r="V14" s="23" t="n">
        <f aca="false">(T14-T$28)/SQRT(U14^2/$X14+U$28^2/$X$28)</f>
        <v>-4.10039069218955</v>
      </c>
      <c r="W14" s="22"/>
      <c r="X14" s="24" t="n">
        <v>827</v>
      </c>
    </row>
    <row r="15" customFormat="false" ht="14.65" hidden="false" customHeight="false" outlineLevel="0" collapsed="false">
      <c r="A15" s="14" t="s">
        <v>14</v>
      </c>
      <c r="B15" s="15" t="s">
        <v>20</v>
      </c>
      <c r="C15" s="16" t="s">
        <v>16</v>
      </c>
      <c r="D15" s="14" t="n">
        <v>1045.4444</v>
      </c>
      <c r="E15" s="15" t="n">
        <v>298.355</v>
      </c>
      <c r="F15" s="17" t="n">
        <f aca="false">(D15-D$28)/SQRT(E15^2/$X15+E$28^2/$X$28)</f>
        <v>1.06569531896945</v>
      </c>
      <c r="G15" s="18" t="n">
        <f aca="false">(D15-D16)/SQRT(E15^2/$X15+E16^2/$X16)</f>
        <v>1.24818275702039</v>
      </c>
      <c r="H15" s="14" t="n">
        <v>192.8148</v>
      </c>
      <c r="I15" s="15" t="n">
        <v>246.502</v>
      </c>
      <c r="J15" s="17" t="n">
        <f aca="false">(H15-H$28)/SQRT(I15^2/$X15+I$28^2/$X$28)</f>
        <v>-1.40917968577657</v>
      </c>
      <c r="K15" s="18" t="n">
        <f aca="false">(H15-H16)/SQRT(I15^2/$X15+I16^2/$X16)</f>
        <v>-1.38795166392881</v>
      </c>
      <c r="L15" s="14" t="n">
        <v>5.1852</v>
      </c>
      <c r="M15" s="15" t="n">
        <v>12.3445</v>
      </c>
      <c r="N15" s="17" t="n">
        <f aca="false">(L15-L$28)/SQRT(M15^2/$X15+M$28^2/$X$28)</f>
        <v>-6.55761383828174</v>
      </c>
      <c r="O15" s="18" t="n">
        <f aca="false">(L15-L16)/SQRT(M15^2/$X15+M16^2/$X16)</f>
        <v>-3.90752575285249</v>
      </c>
      <c r="P15" s="14" t="n">
        <v>131.4074</v>
      </c>
      <c r="Q15" s="15" t="n">
        <v>167.9293</v>
      </c>
      <c r="R15" s="17" t="n">
        <f aca="false">(P15-P$28)/SQRT(Q15^2/$X15+Q$28^2/$X$28)</f>
        <v>0.664359841268881</v>
      </c>
      <c r="S15" s="18" t="n">
        <f aca="false">(P15-P16)/SQRT(Q15^2/$X15+Q16^2/$X16)</f>
        <v>0.347647788080847</v>
      </c>
      <c r="T15" s="14" t="n">
        <v>65.1481</v>
      </c>
      <c r="U15" s="15" t="n">
        <v>61.5459</v>
      </c>
      <c r="V15" s="17" t="n">
        <f aca="false">(T15-T$28)/SQRT(U15^2/$X15+U$28^2/$X$28)</f>
        <v>0.0271144012765512</v>
      </c>
      <c r="W15" s="18" t="n">
        <f aca="false">(T15-T16)/SQRT(U15^2/$X15+U16^2/$X16)</f>
        <v>0.179294804564604</v>
      </c>
      <c r="X15" s="19" t="n">
        <v>27</v>
      </c>
    </row>
    <row r="16" customFormat="false" ht="14.65" hidden="false" customHeight="false" outlineLevel="0" collapsed="false">
      <c r="A16" s="14" t="s">
        <v>14</v>
      </c>
      <c r="B16" s="15" t="s">
        <v>20</v>
      </c>
      <c r="C16" s="16" t="s">
        <v>17</v>
      </c>
      <c r="D16" s="14" t="n">
        <v>968.3697</v>
      </c>
      <c r="E16" s="15" t="n">
        <v>247.8287</v>
      </c>
      <c r="F16" s="17" t="n">
        <f aca="false">(D16-D$28)/SQRT(E16^2/$X16+E$28^2/$X$28)</f>
        <v>-0.690446598812969</v>
      </c>
      <c r="G16" s="16"/>
      <c r="H16" s="14" t="n">
        <v>266.5378</v>
      </c>
      <c r="I16" s="15" t="n">
        <v>260.6388</v>
      </c>
      <c r="J16" s="17" t="n">
        <f aca="false">(H16-H$28)/SQRT(I16^2/$X16+I$28^2/$X$28)</f>
        <v>0.279839013132765</v>
      </c>
      <c r="K16" s="16"/>
      <c r="L16" s="14" t="n">
        <v>23.084</v>
      </c>
      <c r="M16" s="15" t="n">
        <v>42.7225</v>
      </c>
      <c r="N16" s="17" t="n">
        <f aca="false">(L16-L$28)/SQRT(M16^2/$X16+M$28^2/$X$28)</f>
        <v>0.452136340708608</v>
      </c>
      <c r="O16" s="16"/>
      <c r="P16" s="14" t="n">
        <v>119.1765</v>
      </c>
      <c r="Q16" s="15" t="n">
        <v>151.6705</v>
      </c>
      <c r="R16" s="17" t="n">
        <f aca="false">(P16-P$28)/SQRT(Q16^2/$X16+Q$28^2/$X$28)</f>
        <v>0.661594945734656</v>
      </c>
      <c r="S16" s="16"/>
      <c r="T16" s="14" t="n">
        <v>62.8319</v>
      </c>
      <c r="U16" s="15" t="n">
        <v>56.2537</v>
      </c>
      <c r="V16" s="17" t="n">
        <f aca="false">(T16-T$28)/SQRT(U16^2/$X16+U$28^2/$X$28)</f>
        <v>-0.383365310934104</v>
      </c>
      <c r="W16" s="16"/>
      <c r="X16" s="19" t="n">
        <v>119</v>
      </c>
    </row>
    <row r="17" customFormat="false" ht="14.65" hidden="false" customHeight="false" outlineLevel="0" collapsed="false">
      <c r="A17" s="14" t="s">
        <v>18</v>
      </c>
      <c r="B17" s="15" t="s">
        <v>20</v>
      </c>
      <c r="C17" s="16" t="s">
        <v>16</v>
      </c>
      <c r="D17" s="14" t="n">
        <v>937.0082</v>
      </c>
      <c r="E17" s="15" t="n">
        <v>259.8552</v>
      </c>
      <c r="F17" s="17" t="n">
        <f aca="false">(D17-D$28)/SQRT(E17^2/$X17+E$28^2/$X$28)</f>
        <v>-4.70538670355653</v>
      </c>
      <c r="G17" s="18" t="n">
        <f aca="false">(D17-D18)/SQRT(E17^2/$X17+E18^2/$X18)</f>
        <v>-6.75810213946716</v>
      </c>
      <c r="H17" s="14" t="n">
        <v>315.3885</v>
      </c>
      <c r="I17" s="15" t="n">
        <v>279.8863</v>
      </c>
      <c r="J17" s="17" t="n">
        <f aca="false">(H17-H$28)/SQRT(I17^2/$X17+I$28^2/$X$28)</f>
        <v>5.15739092573532</v>
      </c>
      <c r="K17" s="18" t="n">
        <f aca="false">(H17-H18)/SQRT(I17^2/$X17+I18^2/$X18)</f>
        <v>7.34278414871702</v>
      </c>
      <c r="L17" s="14" t="n">
        <v>12.3789</v>
      </c>
      <c r="M17" s="15" t="n">
        <v>37.425</v>
      </c>
      <c r="N17" s="17" t="n">
        <f aca="false">(L17-L$28)/SQRT(M17^2/$X17+M$28^2/$X$28)</f>
        <v>-5.87103362092724</v>
      </c>
      <c r="O17" s="18" t="n">
        <f aca="false">(L17-L18)/SQRT(M17^2/$X17+M18^2/$X18)</f>
        <v>-6.39295732034168</v>
      </c>
      <c r="P17" s="14" t="n">
        <v>106.2038</v>
      </c>
      <c r="Q17" s="15" t="n">
        <v>165.8583</v>
      </c>
      <c r="R17" s="17" t="n">
        <f aca="false">(P17-P$28)/SQRT(Q17^2/$X17+Q$28^2/$X$28)</f>
        <v>-0.580086420025207</v>
      </c>
      <c r="S17" s="18" t="n">
        <f aca="false">(P17-P18)/SQRT(Q17^2/$X17+Q18^2/$X18)</f>
        <v>-0.363494411306679</v>
      </c>
      <c r="T17" s="14" t="n">
        <v>69.0205</v>
      </c>
      <c r="U17" s="15" t="n">
        <v>64.6662</v>
      </c>
      <c r="V17" s="17" t="n">
        <f aca="false">(T17-T$28)/SQRT(U17^2/$X17+U$28^2/$X$28)</f>
        <v>1.68501214512616</v>
      </c>
      <c r="W17" s="18" t="n">
        <f aca="false">(T17-T18)/SQRT(U17^2/$X17+U18^2/$X18)</f>
        <v>1.82589910577383</v>
      </c>
      <c r="X17" s="19" t="n">
        <v>731</v>
      </c>
    </row>
    <row r="18" customFormat="false" ht="14.65" hidden="false" customHeight="false" outlineLevel="0" collapsed="false">
      <c r="A18" s="20" t="s">
        <v>18</v>
      </c>
      <c r="B18" s="21" t="s">
        <v>20</v>
      </c>
      <c r="C18" s="22" t="s">
        <v>17</v>
      </c>
      <c r="D18" s="20" t="n">
        <v>1025.8148</v>
      </c>
      <c r="E18" s="21" t="n">
        <v>240.1251</v>
      </c>
      <c r="F18" s="23" t="n">
        <f aca="false">(D18-D$28)/SQRT(E18^2/$X18+E$28^2/$X$28)</f>
        <v>4.42766730653545</v>
      </c>
      <c r="G18" s="22"/>
      <c r="H18" s="20" t="n">
        <v>213.1295</v>
      </c>
      <c r="I18" s="21" t="n">
        <v>249.6202</v>
      </c>
      <c r="J18" s="23" t="n">
        <f aca="false">(H18-H$28)/SQRT(I18^2/$X18+I$28^2/$X$28)</f>
        <v>-4.76822013750984</v>
      </c>
      <c r="K18" s="22"/>
      <c r="L18" s="20" t="n">
        <v>29.0808</v>
      </c>
      <c r="M18" s="21" t="n">
        <v>59.371</v>
      </c>
      <c r="N18" s="23" t="n">
        <f aca="false">(L18-L$28)/SQRT(M18^2/$X18+M$28^2/$X$28)</f>
        <v>3.38445103708234</v>
      </c>
      <c r="O18" s="22"/>
      <c r="P18" s="20" t="n">
        <v>109.3273</v>
      </c>
      <c r="Q18" s="21" t="n">
        <v>161.2354</v>
      </c>
      <c r="R18" s="23" t="n">
        <f aca="false">(P18-P$28)/SQRT(Q18^2/$X18+Q$28^2/$X$28)</f>
        <v>-0.0921696270301565</v>
      </c>
      <c r="S18" s="22"/>
      <c r="T18" s="20" t="n">
        <v>62.6476</v>
      </c>
      <c r="U18" s="21" t="n">
        <v>68.1129</v>
      </c>
      <c r="V18" s="23" t="n">
        <f aca="false">(T18-T$28)/SQRT(U18^2/$X18+U$28^2/$X$28)</f>
        <v>-0.82727570595687</v>
      </c>
      <c r="W18" s="22"/>
      <c r="X18" s="24" t="n">
        <v>718</v>
      </c>
    </row>
    <row r="19" customFormat="false" ht="14.65" hidden="false" customHeight="false" outlineLevel="0" collapsed="false">
      <c r="A19" s="14" t="s">
        <v>14</v>
      </c>
      <c r="B19" s="15" t="s">
        <v>21</v>
      </c>
      <c r="C19" s="16" t="s">
        <v>16</v>
      </c>
      <c r="D19" s="14" t="n">
        <v>910.0625</v>
      </c>
      <c r="E19" s="15" t="n">
        <v>281.7052</v>
      </c>
      <c r="F19" s="17" t="n">
        <f aca="false">(D19-D$28)/SQRT(E19^2/$X19+E$28^2/$X$28)</f>
        <v>-1.05153028282755</v>
      </c>
      <c r="G19" s="18" t="n">
        <f aca="false">(D19-D20)/SQRT(E19^2/$X19+E20^2/$X20)</f>
        <v>-1.11387254749553</v>
      </c>
      <c r="H19" s="14" t="n">
        <v>256</v>
      </c>
      <c r="I19" s="15" t="n">
        <v>267.7798</v>
      </c>
      <c r="J19" s="17" t="n">
        <f aca="false">(H19-H$28)/SQRT(I19^2/$X19+I$28^2/$X$28)</f>
        <v>-0.0566926233174338</v>
      </c>
      <c r="K19" s="18" t="n">
        <f aca="false">(H19-H20)/SQRT(I19^2/$X19+I20^2/$X20)</f>
        <v>0.64182776740571</v>
      </c>
      <c r="L19" s="14" t="n">
        <v>6.4375</v>
      </c>
      <c r="M19" s="15" t="n">
        <v>11.4191</v>
      </c>
      <c r="N19" s="17" t="n">
        <f aca="false">(L19-L$28)/SQRT(M19^2/$X19+M$28^2/$X$28)</f>
        <v>-5.08337316186432</v>
      </c>
      <c r="O19" s="18" t="n">
        <f aca="false">(L19-L20)/SQRT(M19^2/$X19+M20^2/$X20)</f>
        <v>-2.95609978685732</v>
      </c>
      <c r="P19" s="14" t="n">
        <v>188.625</v>
      </c>
      <c r="Q19" s="15" t="n">
        <v>167.5951</v>
      </c>
      <c r="R19" s="17" t="n">
        <f aca="false">(P19-P$28)/SQRT(Q19^2/$X19+Q$28^2/$X$28)</f>
        <v>1.87716900085003</v>
      </c>
      <c r="S19" s="18" t="n">
        <f aca="false">(P19-P20)/SQRT(Q19^2/$X19+Q20^2/$X20)</f>
        <v>1.00193775775276</v>
      </c>
      <c r="T19" s="14" t="n">
        <v>78.875</v>
      </c>
      <c r="U19" s="15" t="n">
        <v>99.4464</v>
      </c>
      <c r="V19" s="17" t="n">
        <f aca="false">(T19-T$28)/SQRT(U19^2/$X19+U$28^2/$X$28)</f>
        <v>0.564855291839102</v>
      </c>
      <c r="W19" s="18" t="n">
        <f aca="false">(T19-T20)/SQRT(U19^2/$X19+U20^2/$X20)</f>
        <v>0.83184404721463</v>
      </c>
      <c r="X19" s="19" t="n">
        <v>16</v>
      </c>
    </row>
    <row r="20" customFormat="false" ht="14.65" hidden="false" customHeight="false" outlineLevel="0" collapsed="false">
      <c r="A20" s="14" t="s">
        <v>14</v>
      </c>
      <c r="B20" s="15" t="s">
        <v>21</v>
      </c>
      <c r="C20" s="16" t="s">
        <v>17</v>
      </c>
      <c r="D20" s="14" t="n">
        <v>997.3023</v>
      </c>
      <c r="E20" s="15" t="n">
        <v>224.7147</v>
      </c>
      <c r="F20" s="17" t="n">
        <f aca="false">(D20-D$28)/SQRT(E20^2/$X20+E$28^2/$X$28)</f>
        <v>0.381650295951412</v>
      </c>
      <c r="G20" s="16"/>
      <c r="H20" s="14" t="n">
        <v>206.8837</v>
      </c>
      <c r="I20" s="15" t="n">
        <v>243.1167</v>
      </c>
      <c r="J20" s="17" t="n">
        <f aca="false">(H20-H$28)/SQRT(I20^2/$X20+I$28^2/$X$28)</f>
        <v>-1.42259752882874</v>
      </c>
      <c r="K20" s="16"/>
      <c r="L20" s="14" t="n">
        <v>40.3256</v>
      </c>
      <c r="M20" s="15" t="n">
        <v>72.8049</v>
      </c>
      <c r="N20" s="17" t="n">
        <f aca="false">(L20-L$28)/SQRT(M20^2/$X20+M$28^2/$X$28)</f>
        <v>1.7117273346609</v>
      </c>
      <c r="O20" s="16"/>
      <c r="P20" s="14" t="n">
        <v>138.0465</v>
      </c>
      <c r="Q20" s="15" t="n">
        <v>184.6349</v>
      </c>
      <c r="R20" s="17" t="n">
        <f aca="false">(P20-P$28)/SQRT(Q20^2/$X20+Q$28^2/$X$28)</f>
        <v>0.997530690716931</v>
      </c>
      <c r="S20" s="16"/>
      <c r="T20" s="14" t="n">
        <v>57.4419</v>
      </c>
      <c r="U20" s="15" t="n">
        <v>44.3661</v>
      </c>
      <c r="V20" s="17" t="n">
        <f aca="false">(T20-T$28)/SQRT(U20^2/$X20+U$28^2/$X$28)</f>
        <v>-1.08583275233091</v>
      </c>
      <c r="W20" s="16"/>
      <c r="X20" s="19" t="n">
        <v>43</v>
      </c>
    </row>
    <row r="21" customFormat="false" ht="14.65" hidden="false" customHeight="false" outlineLevel="0" collapsed="false">
      <c r="A21" s="14" t="s">
        <v>18</v>
      </c>
      <c r="B21" s="15" t="s">
        <v>21</v>
      </c>
      <c r="C21" s="16" t="s">
        <v>16</v>
      </c>
      <c r="D21" s="14" t="n">
        <v>955.5212</v>
      </c>
      <c r="E21" s="15" t="n">
        <v>258.2525</v>
      </c>
      <c r="F21" s="17" t="n">
        <f aca="false">(D21-D$28)/SQRT(E21^2/$X21+E$28^2/$X$28)</f>
        <v>-2.10942227300455</v>
      </c>
      <c r="G21" s="18" t="n">
        <f aca="false">(D21-D22)/SQRT(E21^2/$X21+E22^2/$X22)</f>
        <v>-1.99112060519709</v>
      </c>
      <c r="H21" s="14" t="n">
        <v>288.7593</v>
      </c>
      <c r="I21" s="15" t="n">
        <v>275.5628</v>
      </c>
      <c r="J21" s="17" t="n">
        <f aca="false">(H21-H$28)/SQRT(I21^2/$X21+I$28^2/$X$28)</f>
        <v>1.99891679286053</v>
      </c>
      <c r="K21" s="18" t="n">
        <f aca="false">(H21-H22)/SQRT(I21^2/$X21+I22^2/$X22)</f>
        <v>2.33763245268005</v>
      </c>
      <c r="L21" s="14" t="n">
        <v>15.1534</v>
      </c>
      <c r="M21" s="15" t="n">
        <v>55.9911</v>
      </c>
      <c r="N21" s="17" t="n">
        <f aca="false">(L21-L$28)/SQRT(M21^2/$X21+M$28^2/$X$28)</f>
        <v>-2.08301289027167</v>
      </c>
      <c r="O21" s="18" t="n">
        <f aca="false">(L21-L22)/SQRT(M21^2/$X21+M22^2/$X22)</f>
        <v>-2.57956770932255</v>
      </c>
      <c r="P21" s="14" t="n">
        <v>110.0952</v>
      </c>
      <c r="Q21" s="15" t="n">
        <v>158.996</v>
      </c>
      <c r="R21" s="17" t="n">
        <f aca="false">(P21-P$28)/SQRT(Q21^2/$X21+Q$28^2/$X$28)</f>
        <v>0.0227404809148024</v>
      </c>
      <c r="S21" s="18" t="n">
        <f aca="false">(P21-P22)/SQRT(Q21^2/$X21+Q22^2/$X22)</f>
        <v>-0.390539960031047</v>
      </c>
      <c r="T21" s="14" t="n">
        <v>70.4709</v>
      </c>
      <c r="U21" s="15" t="n">
        <v>74.0114</v>
      </c>
      <c r="V21" s="17" t="n">
        <f aca="false">(T21-T$28)/SQRT(U21^2/$X21+U$28^2/$X$28)</f>
        <v>1.45905216610752</v>
      </c>
      <c r="W21" s="18" t="n">
        <f aca="false">(T21-T22)/SQRT(U21^2/$X21+U22^2/$X22)</f>
        <v>1.9780595696527</v>
      </c>
      <c r="X21" s="19" t="n">
        <v>378</v>
      </c>
    </row>
    <row r="22" customFormat="false" ht="14.65" hidden="false" customHeight="false" outlineLevel="0" collapsed="false">
      <c r="A22" s="20" t="s">
        <v>18</v>
      </c>
      <c r="B22" s="21" t="s">
        <v>21</v>
      </c>
      <c r="C22" s="22" t="s">
        <v>17</v>
      </c>
      <c r="D22" s="20" t="n">
        <v>992.9713</v>
      </c>
      <c r="E22" s="21" t="n">
        <v>248.4108</v>
      </c>
      <c r="F22" s="23" t="n">
        <f aca="false">(D22-D$28)/SQRT(E22^2/$X22+E$28^2/$X$28)</f>
        <v>0.645685076876935</v>
      </c>
      <c r="G22" s="22"/>
      <c r="H22" s="20" t="n">
        <v>242.6264</v>
      </c>
      <c r="I22" s="21" t="n">
        <v>256.1752</v>
      </c>
      <c r="J22" s="23" t="n">
        <f aca="false">(H22-H$28)/SQRT(I22^2/$X22+I$28^2/$X$28)</f>
        <v>-1.22166247872435</v>
      </c>
      <c r="K22" s="22"/>
      <c r="L22" s="20" t="n">
        <v>29.1552</v>
      </c>
      <c r="M22" s="21" t="n">
        <v>85.8304</v>
      </c>
      <c r="N22" s="23" t="n">
        <f aca="false">(L22-L$28)/SQRT(M22^2/$X22+M$28^2/$X$28)</f>
        <v>1.69377982528972</v>
      </c>
      <c r="O22" s="22"/>
      <c r="P22" s="20" t="n">
        <v>114.7529</v>
      </c>
      <c r="Q22" s="21" t="n">
        <v>161.9414</v>
      </c>
      <c r="R22" s="23" t="n">
        <f aca="false">(P22-P$28)/SQRT(Q22^2/$X22+Q$28^2/$X$28)</f>
        <v>0.547384869355564</v>
      </c>
      <c r="S22" s="22"/>
      <c r="T22" s="20" t="n">
        <v>60.4943</v>
      </c>
      <c r="U22" s="21" t="n">
        <v>61.7215</v>
      </c>
      <c r="V22" s="23" t="n">
        <f aca="false">(T22-T$28)/SQRT(U22^2/$X22+U$28^2/$X$28)</f>
        <v>-1.28182939220684</v>
      </c>
      <c r="W22" s="22"/>
      <c r="X22" s="24" t="n">
        <v>348</v>
      </c>
    </row>
    <row r="23" customFormat="false" ht="14.65" hidden="false" customHeight="false" outlineLevel="0" collapsed="false">
      <c r="A23" s="14" t="s">
        <v>14</v>
      </c>
      <c r="B23" s="15" t="s">
        <v>22</v>
      </c>
      <c r="C23" s="16" t="s">
        <v>16</v>
      </c>
      <c r="D23" s="14" t="n">
        <v>1195.6154</v>
      </c>
      <c r="E23" s="15" t="n">
        <v>214.3683</v>
      </c>
      <c r="F23" s="17" t="n">
        <f aca="false">(D23-D$28)/SQRT(E23^2/$X23+E$28^2/$X$28)</f>
        <v>3.55216811534524</v>
      </c>
      <c r="G23" s="18" t="n">
        <f aca="false">(D23-D24)/SQRT(E23^2/$X23+E24^2/$X24)</f>
        <v>0.359295466482859</v>
      </c>
      <c r="H23" s="14" t="n">
        <v>0</v>
      </c>
      <c r="I23" s="15" t="n">
        <v>0</v>
      </c>
      <c r="J23" s="17" t="n">
        <f aca="false">(H23-H$28)/SQRT(I23^2/$X23+I$28^2/$X$28)</f>
        <v>-86.5288912972798</v>
      </c>
      <c r="K23" s="31" t="s">
        <v>27</v>
      </c>
      <c r="L23" s="14" t="n">
        <v>31.1538</v>
      </c>
      <c r="M23" s="15" t="n">
        <v>37.9777</v>
      </c>
      <c r="N23" s="17" t="n">
        <f aca="false">(L23-L$28)/SQRT(M23^2/$X23+M$28^2/$X$28)</f>
        <v>0.934726931718015</v>
      </c>
      <c r="O23" s="18" t="n">
        <f aca="false">(L23-L24)/SQRT(M23^2/$X23+M24^2/$X24)</f>
        <v>0.385681493759114</v>
      </c>
      <c r="P23" s="14" t="n">
        <v>145.8462</v>
      </c>
      <c r="Q23" s="15" t="n">
        <v>168.2547</v>
      </c>
      <c r="R23" s="17" t="n">
        <f aca="false">(P23-P$28)/SQRT(Q23^2/$X23+Q$28^2/$X$28)</f>
        <v>0.769644814255748</v>
      </c>
      <c r="S23" s="18" t="n">
        <f aca="false">(P23-P24)/SQRT(Q23^2/$X23+Q24^2/$X24)</f>
        <v>-0.43252857163726</v>
      </c>
      <c r="T23" s="14" t="n">
        <v>67.3846</v>
      </c>
      <c r="U23" s="15" t="n">
        <v>77.7491</v>
      </c>
      <c r="V23" s="17" t="n">
        <f aca="false">(T23-T$28)/SQRT(U23^2/$X23+U$28^2/$X$28)</f>
        <v>0.118573911451525</v>
      </c>
      <c r="W23" s="18" t="n">
        <f aca="false">(T23-T24)/SQRT(U23^2/$X23+U24^2/$X24)</f>
        <v>-0.248181848769525</v>
      </c>
      <c r="X23" s="19" t="n">
        <v>13</v>
      </c>
    </row>
    <row r="24" customFormat="false" ht="14.65" hidden="false" customHeight="false" outlineLevel="0" collapsed="false">
      <c r="A24" s="14" t="s">
        <v>14</v>
      </c>
      <c r="B24" s="15" t="s">
        <v>22</v>
      </c>
      <c r="C24" s="16" t="s">
        <v>17</v>
      </c>
      <c r="D24" s="14" t="n">
        <v>1161.9091</v>
      </c>
      <c r="E24" s="15" t="n">
        <v>240.6742</v>
      </c>
      <c r="F24" s="17" t="n">
        <f aca="false">(D24-D$28)/SQRT(E24^2/$X24+E$28^2/$X$28)</f>
        <v>2.4473400979702</v>
      </c>
      <c r="G24" s="16"/>
      <c r="H24" s="14" t="n">
        <v>0</v>
      </c>
      <c r="I24" s="15" t="n">
        <v>0</v>
      </c>
      <c r="J24" s="17" t="n">
        <f aca="false">(H24-H$28)/SQRT(I24^2/$X24+I$28^2/$X$28)</f>
        <v>-86.5288912972798</v>
      </c>
      <c r="K24" s="16"/>
      <c r="L24" s="14" t="n">
        <v>25</v>
      </c>
      <c r="M24" s="15" t="n">
        <v>39.7492</v>
      </c>
      <c r="N24" s="17" t="n">
        <f aca="false">(L24-L$28)/SQRT(M24^2/$X24+M$28^2/$X$28)</f>
        <v>0.30905707146421</v>
      </c>
      <c r="O24" s="16"/>
      <c r="P24" s="14" t="n">
        <v>178.7273</v>
      </c>
      <c r="Q24" s="15" t="n">
        <v>199.0382</v>
      </c>
      <c r="R24" s="17" t="n">
        <f aca="false">(P24-P$28)/SQRT(Q24^2/$X24+Q$28^2/$X$28)</f>
        <v>1.14631398365066</v>
      </c>
      <c r="S24" s="16"/>
      <c r="T24" s="14" t="n">
        <v>74.3636</v>
      </c>
      <c r="U24" s="15" t="n">
        <v>59.862</v>
      </c>
      <c r="V24" s="17" t="n">
        <f aca="false">(T24-T$28)/SQRT(U24^2/$X24+U$28^2/$X$28)</f>
        <v>0.528019177334103</v>
      </c>
      <c r="W24" s="16"/>
      <c r="X24" s="19" t="n">
        <v>11</v>
      </c>
    </row>
    <row r="25" customFormat="false" ht="14.65" hidden="false" customHeight="false" outlineLevel="0" collapsed="false">
      <c r="A25" s="14" t="s">
        <v>18</v>
      </c>
      <c r="B25" s="15" t="s">
        <v>22</v>
      </c>
      <c r="C25" s="16" t="s">
        <v>16</v>
      </c>
      <c r="D25" s="14" t="n">
        <v>1105.3673</v>
      </c>
      <c r="E25" s="15" t="n">
        <v>246.0371</v>
      </c>
      <c r="F25" s="17" t="n">
        <f aca="false">(D25-D$28)/SQRT(E25^2/$X25+E$28^2/$X$28)</f>
        <v>6.80695618069673</v>
      </c>
      <c r="G25" s="18" t="n">
        <f aca="false">(D25-D26)/SQRT(E25^2/$X25+E26^2/$X26)</f>
        <v>-0.42849434638246</v>
      </c>
      <c r="H25" s="14" t="n">
        <v>135.0153</v>
      </c>
      <c r="I25" s="15" t="n">
        <v>230.0708</v>
      </c>
      <c r="J25" s="17" t="n">
        <f aca="false">(H25-H$28)/SQRT(I25^2/$X25+I$28^2/$X$28)</f>
        <v>-7.46955480698375</v>
      </c>
      <c r="K25" s="18" t="n">
        <f aca="false">(H25-H26)/SQRT(I25^2/$X25+I26^2/$X26)</f>
        <v>-0.164702982960758</v>
      </c>
      <c r="L25" s="14" t="n">
        <v>16.4235</v>
      </c>
      <c r="M25" s="15" t="n">
        <v>32.7685</v>
      </c>
      <c r="N25" s="17" t="n">
        <f aca="false">(L25-L$28)/SQRT(M25^2/$X25+M$28^2/$X$28)</f>
        <v>-2.00960548518595</v>
      </c>
      <c r="O25" s="18" t="n">
        <f aca="false">(L25-L26)/SQRT(M25^2/$X25+M26^2/$X26)</f>
        <v>-3.25584399260535</v>
      </c>
      <c r="P25" s="14" t="n">
        <v>121.7398</v>
      </c>
      <c r="Q25" s="15" t="n">
        <v>156.8849</v>
      </c>
      <c r="R25" s="17" t="n">
        <f aca="false">(P25-P$28)/SQRT(Q25^2/$X25+Q$28^2/$X$28)</f>
        <v>1.04339720003114</v>
      </c>
      <c r="S25" s="18" t="n">
        <f aca="false">(P25-P26)/SQRT(Q25^2/$X25+Q26^2/$X26)</f>
        <v>1.28411340877345</v>
      </c>
      <c r="T25" s="14" t="n">
        <v>61.4541</v>
      </c>
      <c r="U25" s="15" t="n">
        <v>70.2325</v>
      </c>
      <c r="V25" s="17" t="n">
        <f aca="false">(T25-T$28)/SQRT(U25^2/$X25+U$28^2/$X$28)</f>
        <v>-0.6659731817709</v>
      </c>
      <c r="W25" s="18" t="n">
        <f aca="false">(T25-T26)/SQRT(U25^2/$X25+U26^2/$X26)</f>
        <v>1.45031968990483</v>
      </c>
      <c r="X25" s="19" t="n">
        <v>196</v>
      </c>
    </row>
    <row r="26" customFormat="false" ht="14.65" hidden="false" customHeight="false" outlineLevel="0" collapsed="false">
      <c r="A26" s="25" t="s">
        <v>18</v>
      </c>
      <c r="B26" s="26" t="s">
        <v>22</v>
      </c>
      <c r="C26" s="27" t="s">
        <v>17</v>
      </c>
      <c r="D26" s="25" t="n">
        <v>1115.3668</v>
      </c>
      <c r="E26" s="26" t="n">
        <v>232.3444</v>
      </c>
      <c r="F26" s="28" t="n">
        <f aca="false">(D26-D$28)/SQRT(E26^2/$X26+E$28^2/$X$28)</f>
        <v>8.40087966423558</v>
      </c>
      <c r="G26" s="27"/>
      <c r="H26" s="25" t="n">
        <v>138.6943</v>
      </c>
      <c r="I26" s="26" t="n">
        <v>228.9427</v>
      </c>
      <c r="J26" s="28" t="n">
        <f aca="false">(H26-H$28)/SQRT(I26^2/$X26+I$28^2/$X$28)</f>
        <v>-7.8517054431048</v>
      </c>
      <c r="K26" s="27"/>
      <c r="L26" s="25" t="n">
        <v>30.7729</v>
      </c>
      <c r="M26" s="26" t="n">
        <v>56.5115</v>
      </c>
      <c r="N26" s="28" t="n">
        <f aca="false">(L26-L$28)/SQRT(M26^2/$X26+M$28^2/$X$28)</f>
        <v>2.50445984004355</v>
      </c>
      <c r="O26" s="27"/>
      <c r="P26" s="25" t="n">
        <v>102.3319</v>
      </c>
      <c r="Q26" s="26" t="n">
        <v>153.4707</v>
      </c>
      <c r="R26" s="28" t="n">
        <f aca="false">(P26-P$28)/SQRT(Q26^2/$X26+Q$28^2/$X$28)</f>
        <v>-0.735805626759486</v>
      </c>
      <c r="S26" s="27"/>
      <c r="T26" s="25" t="n">
        <v>52.8341</v>
      </c>
      <c r="U26" s="26" t="n">
        <v>48.233</v>
      </c>
      <c r="V26" s="28" t="n">
        <f aca="false">(T26-T$28)/SQRT(U26^2/$X26+U$28^2/$X$28)</f>
        <v>-3.67752352920551</v>
      </c>
      <c r="W26" s="27"/>
      <c r="X26" s="29" t="n">
        <v>229</v>
      </c>
    </row>
    <row r="27" customFormat="false" ht="14.65" hidden="false" customHeight="false" outlineLevel="0" collapsed="false">
      <c r="A27" s="14"/>
      <c r="B27" s="15"/>
      <c r="C27" s="30"/>
      <c r="D27" s="32"/>
      <c r="E27" s="33"/>
      <c r="F27" s="15"/>
      <c r="G27" s="16"/>
      <c r="H27" s="14"/>
      <c r="I27" s="15"/>
      <c r="J27" s="15"/>
      <c r="K27" s="16"/>
      <c r="L27" s="14"/>
      <c r="M27" s="15"/>
      <c r="N27" s="15"/>
      <c r="O27" s="16"/>
      <c r="P27" s="14"/>
      <c r="Q27" s="15"/>
      <c r="R27" s="15"/>
      <c r="S27" s="16"/>
      <c r="T27" s="14"/>
      <c r="U27" s="15"/>
      <c r="V27" s="15"/>
      <c r="W27" s="16"/>
      <c r="X27" s="19"/>
    </row>
    <row r="28" customFormat="false" ht="14.65" hidden="false" customHeight="false" outlineLevel="0" collapsed="false">
      <c r="A28" s="25"/>
      <c r="B28" s="26"/>
      <c r="C28" s="27" t="s">
        <v>23</v>
      </c>
      <c r="D28" s="25" t="n">
        <v>984.1785</v>
      </c>
      <c r="E28" s="26" t="n">
        <v>257.4312</v>
      </c>
      <c r="F28" s="26"/>
      <c r="G28" s="27"/>
      <c r="H28" s="25" t="n">
        <v>259.7991</v>
      </c>
      <c r="I28" s="26" t="n">
        <v>271.2033</v>
      </c>
      <c r="J28" s="26"/>
      <c r="K28" s="27"/>
      <c r="L28" s="25" t="n">
        <v>21.291</v>
      </c>
      <c r="M28" s="26" t="n">
        <v>56.2797</v>
      </c>
      <c r="N28" s="26"/>
      <c r="O28" s="27"/>
      <c r="P28" s="25" t="n">
        <v>109.905</v>
      </c>
      <c r="Q28" s="26" t="n">
        <v>158.4693</v>
      </c>
      <c r="R28" s="26"/>
      <c r="S28" s="27"/>
      <c r="T28" s="25" t="n">
        <v>64.8264</v>
      </c>
      <c r="U28" s="26" t="n">
        <v>62.2463</v>
      </c>
      <c r="V28" s="26"/>
      <c r="W28" s="27"/>
      <c r="X28" s="29" t="n">
        <v>8159</v>
      </c>
    </row>
    <row r="29" customFormat="false" ht="14.65" hidden="false" customHeight="false" outlineLevel="0" collapsed="false">
      <c r="C29" s="0"/>
      <c r="D29" s="0"/>
      <c r="E29" s="0"/>
    </row>
    <row r="30" customFormat="false" ht="14.65" hidden="false" customHeight="false" outlineLevel="0" collapsed="false">
      <c r="C30" s="0"/>
      <c r="D30" s="0"/>
      <c r="E30" s="0"/>
    </row>
    <row r="31" customFormat="false" ht="14.65" hidden="false" customHeight="false" outlineLevel="0" collapsed="false">
      <c r="C31" s="0"/>
      <c r="D31" s="0"/>
      <c r="E31" s="0"/>
    </row>
    <row r="32" customFormat="false" ht="14.65" hidden="false" customHeight="false" outlineLevel="0" collapsed="false">
      <c r="C32" s="0"/>
      <c r="D32" s="0"/>
      <c r="E32" s="0"/>
    </row>
    <row r="33" customFormat="false" ht="14.65" hidden="false" customHeight="false" outlineLevel="0" collapsed="false">
      <c r="C33" s="0"/>
      <c r="D33" s="0"/>
      <c r="E33" s="0"/>
    </row>
    <row r="34" customFormat="false" ht="14.65" hidden="false" customHeight="false" outlineLevel="0" collapsed="false">
      <c r="C34" s="0"/>
      <c r="D34" s="0"/>
      <c r="E34" s="0"/>
    </row>
    <row r="35" customFormat="false" ht="14.65" hidden="false" customHeight="false" outlineLevel="0" collapsed="false">
      <c r="C35" s="0"/>
      <c r="D35" s="0"/>
      <c r="E35" s="0"/>
    </row>
    <row r="36" customFormat="false" ht="14.65" hidden="false" customHeight="false" outlineLevel="0" collapsed="false">
      <c r="C36" s="0"/>
      <c r="D36" s="0"/>
      <c r="E36" s="0"/>
    </row>
    <row r="37" customFormat="false" ht="14.65" hidden="false" customHeight="false" outlineLevel="0" collapsed="false">
      <c r="C37" s="0"/>
      <c r="D37" s="0"/>
      <c r="E37" s="0"/>
    </row>
    <row r="38" customFormat="false" ht="14.65" hidden="false" customHeight="false" outlineLevel="0" collapsed="false">
      <c r="C38" s="0"/>
      <c r="D38" s="0"/>
      <c r="E38" s="0"/>
    </row>
    <row r="39" customFormat="false" ht="14.65" hidden="false" customHeight="false" outlineLevel="0" collapsed="false">
      <c r="C39" s="0"/>
      <c r="D39" s="0"/>
      <c r="E39" s="0"/>
    </row>
    <row r="40" customFormat="false" ht="14.65" hidden="false" customHeight="false" outlineLevel="0" collapsed="false">
      <c r="C40" s="0"/>
      <c r="D40" s="0"/>
      <c r="E40" s="0"/>
    </row>
    <row r="41" customFormat="false" ht="14.65" hidden="false" customHeight="false" outlineLevel="0" collapsed="false">
      <c r="C41" s="0"/>
      <c r="D41" s="0"/>
      <c r="E41" s="0"/>
    </row>
    <row r="42" customFormat="false" ht="14.65" hidden="false" customHeight="false" outlineLevel="0" collapsed="false">
      <c r="C42" s="0"/>
      <c r="D42" s="0"/>
      <c r="E42" s="0"/>
    </row>
    <row r="43" customFormat="false" ht="14.65" hidden="false" customHeight="false" outlineLevel="0" collapsed="false">
      <c r="C43" s="0"/>
      <c r="D43" s="0"/>
      <c r="E43" s="0"/>
    </row>
    <row r="44" customFormat="false" ht="14.65" hidden="false" customHeight="false" outlineLevel="0" collapsed="false">
      <c r="C44" s="0"/>
      <c r="D44" s="0"/>
      <c r="E44" s="0"/>
    </row>
    <row r="45" customFormat="false" ht="14.65" hidden="false" customHeight="false" outlineLevel="0" collapsed="false">
      <c r="C45" s="0"/>
      <c r="D45" s="0"/>
      <c r="E45" s="0"/>
    </row>
    <row r="46" customFormat="false" ht="14.65" hidden="false" customHeight="false" outlineLevel="0" collapsed="false">
      <c r="C46" s="0"/>
      <c r="D46" s="0"/>
      <c r="E46" s="0"/>
    </row>
    <row r="47" customFormat="false" ht="14.65" hidden="false" customHeight="false" outlineLevel="0" collapsed="false">
      <c r="C47" s="0"/>
      <c r="D47" s="0"/>
      <c r="E47" s="0"/>
    </row>
    <row r="48" customFormat="false" ht="14.65" hidden="false" customHeight="false" outlineLevel="0" collapsed="false">
      <c r="C48" s="0"/>
      <c r="D48" s="0"/>
      <c r="E48" s="0"/>
    </row>
    <row r="49" customFormat="false" ht="14.65" hidden="false" customHeight="false" outlineLevel="0" collapsed="false">
      <c r="C49" s="0"/>
      <c r="D49" s="0"/>
      <c r="E49" s="0"/>
    </row>
    <row r="50" customFormat="false" ht="14.65" hidden="false" customHeight="false" outlineLevel="0" collapsed="false">
      <c r="C50" s="0"/>
      <c r="D50" s="0"/>
      <c r="E50" s="0"/>
    </row>
    <row r="51" customFormat="false" ht="14.65" hidden="false" customHeight="false" outlineLevel="0" collapsed="false">
      <c r="C51" s="0"/>
      <c r="D51" s="0"/>
      <c r="E51" s="0"/>
    </row>
    <row r="52" customFormat="false" ht="14.65" hidden="false" customHeight="false" outlineLevel="0" collapsed="false">
      <c r="C52" s="0"/>
      <c r="D52" s="0"/>
      <c r="E52" s="0"/>
    </row>
    <row r="53" customFormat="false" ht="14.65" hidden="false" customHeight="false" outlineLevel="0" collapsed="false">
      <c r="C53" s="0"/>
      <c r="D53" s="0"/>
      <c r="E53" s="0"/>
    </row>
    <row r="54" customFormat="false" ht="14.65" hidden="false" customHeight="false" outlineLevel="0" collapsed="false">
      <c r="C54" s="0"/>
      <c r="D54" s="0"/>
      <c r="E54" s="0"/>
    </row>
    <row r="55" customFormat="false" ht="14.65" hidden="false" customHeight="false" outlineLevel="0" collapsed="false">
      <c r="C55" s="0"/>
      <c r="D55" s="0"/>
      <c r="E55" s="0"/>
    </row>
    <row r="56" customFormat="false" ht="14.65" hidden="false" customHeight="false" outlineLevel="0" collapsed="false">
      <c r="C56" s="0"/>
      <c r="D56" s="0"/>
      <c r="E56" s="0"/>
    </row>
    <row r="57" customFormat="false" ht="14.65" hidden="false" customHeight="false" outlineLevel="0" collapsed="false">
      <c r="C57" s="0"/>
      <c r="D57" s="0"/>
      <c r="E57" s="0"/>
    </row>
    <row r="58" customFormat="false" ht="14.65" hidden="false" customHeight="false" outlineLevel="0" collapsed="false">
      <c r="C58" s="0"/>
      <c r="D58" s="0"/>
      <c r="E58" s="0"/>
    </row>
    <row r="59" customFormat="false" ht="14.65" hidden="false" customHeight="false" outlineLevel="0" collapsed="false">
      <c r="C59" s="0"/>
      <c r="D59" s="0"/>
      <c r="E59" s="0"/>
    </row>
    <row r="60" customFormat="false" ht="14.65" hidden="false" customHeight="false" outlineLevel="0" collapsed="false">
      <c r="C60" s="0"/>
      <c r="D60" s="0"/>
      <c r="E60" s="0"/>
    </row>
    <row r="61" customFormat="false" ht="14.65" hidden="false" customHeight="false" outlineLevel="0" collapsed="false">
      <c r="C61" s="0"/>
      <c r="D61" s="0"/>
      <c r="E61" s="0"/>
    </row>
    <row r="62" customFormat="false" ht="14.65" hidden="false" customHeight="false" outlineLevel="0" collapsed="false">
      <c r="C62" s="0"/>
      <c r="D62" s="0"/>
      <c r="E62" s="0"/>
    </row>
    <row r="63" customFormat="false" ht="14.65" hidden="false" customHeight="false" outlineLevel="0" collapsed="false">
      <c r="C63" s="0"/>
      <c r="D63" s="0"/>
      <c r="E63" s="0"/>
    </row>
    <row r="64" customFormat="false" ht="14.65" hidden="false" customHeight="false" outlineLevel="0" collapsed="false">
      <c r="C64" s="0"/>
      <c r="D64" s="0"/>
      <c r="E64" s="0"/>
    </row>
    <row r="65" customFormat="false" ht="14.65" hidden="false" customHeight="false" outlineLevel="0" collapsed="false">
      <c r="C65" s="0"/>
      <c r="D65" s="0"/>
      <c r="E65" s="0"/>
    </row>
    <row r="66" customFormat="false" ht="14.65" hidden="false" customHeight="false" outlineLevel="0" collapsed="false">
      <c r="C66" s="0"/>
      <c r="D66" s="0"/>
      <c r="E66" s="0"/>
    </row>
    <row r="67" customFormat="false" ht="14.65" hidden="false" customHeight="false" outlineLevel="0" collapsed="false">
      <c r="C67" s="0"/>
      <c r="D67" s="0"/>
      <c r="E67" s="0"/>
    </row>
    <row r="68" customFormat="false" ht="14.65" hidden="false" customHeight="false" outlineLevel="0" collapsed="false">
      <c r="C68" s="0"/>
      <c r="D68" s="0"/>
      <c r="E68" s="0"/>
    </row>
    <row r="69" customFormat="false" ht="14.65" hidden="false" customHeight="false" outlineLevel="0" collapsed="false">
      <c r="C69" s="0"/>
      <c r="D69" s="0"/>
      <c r="E69" s="0"/>
    </row>
    <row r="70" customFormat="false" ht="14.65" hidden="false" customHeight="false" outlineLevel="0" collapsed="false">
      <c r="C70" s="0"/>
      <c r="D70" s="0"/>
      <c r="E70" s="0"/>
    </row>
    <row r="71" customFormat="false" ht="14.65" hidden="false" customHeight="false" outlineLevel="0" collapsed="false">
      <c r="C71" s="0"/>
      <c r="D71" s="0"/>
      <c r="E71" s="0"/>
    </row>
    <row r="72" customFormat="false" ht="14.65" hidden="false" customHeight="false" outlineLevel="0" collapsed="false">
      <c r="C72" s="0"/>
      <c r="D72" s="0"/>
      <c r="E72" s="0"/>
    </row>
    <row r="73" customFormat="false" ht="14.65" hidden="false" customHeight="false" outlineLevel="0" collapsed="false">
      <c r="C73" s="0"/>
      <c r="D73" s="0"/>
      <c r="E73" s="0"/>
    </row>
    <row r="74" customFormat="false" ht="14.65" hidden="false" customHeight="false" outlineLevel="0" collapsed="false">
      <c r="C74" s="0"/>
      <c r="D74" s="0"/>
      <c r="E74" s="0"/>
    </row>
    <row r="75" customFormat="false" ht="14.65" hidden="false" customHeight="false" outlineLevel="0" collapsed="false">
      <c r="C75" s="0"/>
      <c r="D75" s="0"/>
      <c r="E75" s="0"/>
    </row>
    <row r="76" customFormat="false" ht="14.65" hidden="false" customHeight="false" outlineLevel="0" collapsed="false">
      <c r="C76" s="0"/>
      <c r="D76" s="0"/>
      <c r="E76" s="0"/>
    </row>
    <row r="77" customFormat="false" ht="14.65" hidden="false" customHeight="false" outlineLevel="0" collapsed="false">
      <c r="C77" s="0"/>
      <c r="D77" s="0"/>
      <c r="E77" s="0"/>
    </row>
    <row r="78" customFormat="false" ht="14.65" hidden="false" customHeight="false" outlineLevel="0" collapsed="false">
      <c r="C78" s="0"/>
      <c r="D78" s="0"/>
      <c r="E78" s="0"/>
    </row>
    <row r="79" customFormat="false" ht="14.65" hidden="false" customHeight="false" outlineLevel="0" collapsed="false">
      <c r="C79" s="0"/>
      <c r="D79" s="0"/>
      <c r="E79" s="0"/>
    </row>
    <row r="80" customFormat="false" ht="14.65" hidden="false" customHeight="false" outlineLevel="0" collapsed="false">
      <c r="C80" s="0"/>
      <c r="D80" s="0"/>
      <c r="E80" s="0"/>
    </row>
    <row r="81" customFormat="false" ht="14.65" hidden="false" customHeight="false" outlineLevel="0" collapsed="false">
      <c r="C81" s="0"/>
      <c r="D81" s="0"/>
      <c r="E81" s="0"/>
    </row>
    <row r="82" customFormat="false" ht="14.65" hidden="false" customHeight="false" outlineLevel="0" collapsed="false">
      <c r="C82" s="0"/>
      <c r="D82" s="0"/>
      <c r="E82" s="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38"/>
  <sheetViews>
    <sheetView showFormulas="false" showGridLines="true" showRowColHeaders="true" showZeros="true" rightToLeft="false" tabSelected="false" showOutlineSymbols="true" defaultGridColor="true" view="normal" topLeftCell="A423" colorId="64" zoomScale="100" zoomScaleNormal="100" zoomScalePageLayoutView="100" workbookViewId="0">
      <selection pane="topLeft" activeCell="A435" activeCellId="0" sqref="A435:IV822 A435:IV822"/>
    </sheetView>
  </sheetViews>
  <sheetFormatPr defaultColWidth="11.0546875" defaultRowHeight="14.65" customHeight="false" zeroHeight="false" outlineLevelRow="0" outlineLevelCol="0"/>
  <sheetData>
    <row r="1" customFormat="false" ht="14.65" hidden="false" customHeight="false" outlineLevel="0" collapsed="false">
      <c r="A1" s="0" t="s">
        <v>29</v>
      </c>
      <c r="B1" s="0" t="s">
        <v>30</v>
      </c>
      <c r="C1" s="0" t="s">
        <v>31</v>
      </c>
      <c r="D1" s="0" t="s">
        <v>32</v>
      </c>
      <c r="F1" s="34" t="n">
        <v>34011</v>
      </c>
    </row>
    <row r="3" customFormat="false" ht="14.65" hidden="false" customHeight="false" outlineLevel="0" collapsed="false">
      <c r="A3" s="0" t="s">
        <v>33</v>
      </c>
      <c r="B3" s="0" t="s">
        <v>34</v>
      </c>
      <c r="C3" s="0" t="s">
        <v>35</v>
      </c>
    </row>
    <row r="4" customFormat="false" ht="14.65" hidden="false" customHeight="false" outlineLevel="0" collapsed="false">
      <c r="A4" s="0" t="s">
        <v>36</v>
      </c>
      <c r="B4" s="0" t="s">
        <v>37</v>
      </c>
      <c r="C4" s="0" t="s">
        <v>38</v>
      </c>
    </row>
    <row r="5" customFormat="false" ht="14.65" hidden="false" customHeight="false" outlineLevel="0" collapsed="false">
      <c r="A5" s="0" t="s">
        <v>39</v>
      </c>
      <c r="B5" s="0" t="s">
        <v>40</v>
      </c>
    </row>
    <row r="6" customFormat="false" ht="14.65" hidden="false" customHeight="false" outlineLevel="0" collapsed="false">
      <c r="A6" s="0" t="s">
        <v>41</v>
      </c>
      <c r="B6" s="0" t="s">
        <v>42</v>
      </c>
      <c r="C6" s="0" t="s">
        <v>43</v>
      </c>
    </row>
    <row r="7" customFormat="false" ht="14.65" hidden="false" customHeight="false" outlineLevel="0" collapsed="false">
      <c r="A7" s="0" t="s">
        <v>44</v>
      </c>
      <c r="C7" s="0" t="s">
        <v>45</v>
      </c>
    </row>
    <row r="8" customFormat="false" ht="14.65" hidden="false" customHeight="false" outlineLevel="0" collapsed="false">
      <c r="A8" s="0" t="s">
        <v>36</v>
      </c>
      <c r="B8" s="0" t="s">
        <v>46</v>
      </c>
      <c r="C8" s="0" t="s">
        <v>47</v>
      </c>
    </row>
    <row r="9" customFormat="false" ht="14.65" hidden="false" customHeight="false" outlineLevel="0" collapsed="false">
      <c r="A9" s="0" t="s">
        <v>48</v>
      </c>
      <c r="B9" s="0" t="s">
        <v>49</v>
      </c>
      <c r="C9" s="0" t="s">
        <v>50</v>
      </c>
    </row>
    <row r="10" customFormat="false" ht="14.65" hidden="false" customHeight="false" outlineLevel="0" collapsed="false">
      <c r="A10" s="0" t="s">
        <v>51</v>
      </c>
      <c r="B10" s="0" t="s">
        <v>52</v>
      </c>
      <c r="C10" s="0" t="s">
        <v>53</v>
      </c>
      <c r="D10" s="0" t="s">
        <v>54</v>
      </c>
    </row>
    <row r="11" customFormat="false" ht="14.65" hidden="false" customHeight="false" outlineLevel="0" collapsed="false">
      <c r="A11" s="0" t="s">
        <v>51</v>
      </c>
      <c r="B11" s="0" t="s">
        <v>55</v>
      </c>
      <c r="C11" s="0" t="s">
        <v>56</v>
      </c>
      <c r="D11" s="0" t="s">
        <v>57</v>
      </c>
    </row>
    <row r="12" customFormat="false" ht="14.65" hidden="false" customHeight="false" outlineLevel="0" collapsed="false">
      <c r="A12" s="0" t="s">
        <v>58</v>
      </c>
      <c r="B12" s="0" t="s">
        <v>59</v>
      </c>
      <c r="C12" s="0" t="s">
        <v>60</v>
      </c>
      <c r="D12" s="0" t="s">
        <v>61</v>
      </c>
      <c r="E12" s="0" t="s">
        <v>62</v>
      </c>
      <c r="F12" s="0" t="s">
        <v>63</v>
      </c>
    </row>
    <row r="13" customFormat="false" ht="14.65" hidden="false" customHeight="false" outlineLevel="0" collapsed="false">
      <c r="A13" s="0" t="s">
        <v>64</v>
      </c>
      <c r="C13" s="0" t="s">
        <v>45</v>
      </c>
      <c r="F13" s="34" t="n">
        <v>34011</v>
      </c>
    </row>
    <row r="15" customFormat="false" ht="14.65" hidden="false" customHeight="false" outlineLevel="0" collapsed="false">
      <c r="A15" s="0" t="s">
        <v>65</v>
      </c>
      <c r="B15" s="0" t="s">
        <v>66</v>
      </c>
      <c r="C15" s="0" t="s">
        <v>67</v>
      </c>
    </row>
    <row r="17" customFormat="false" ht="14.65" hidden="false" customHeight="false" outlineLevel="0" collapsed="false">
      <c r="A17" s="0" t="s">
        <v>68</v>
      </c>
      <c r="B17" s="0" t="s">
        <v>69</v>
      </c>
      <c r="C17" s="0" t="s">
        <v>70</v>
      </c>
    </row>
    <row r="19" customFormat="false" ht="14.65" hidden="false" customHeight="false" outlineLevel="0" collapsed="false">
      <c r="A19" s="0" t="s">
        <v>71</v>
      </c>
      <c r="B19" s="0" t="s">
        <v>72</v>
      </c>
    </row>
    <row r="20" customFormat="false" ht="14.65" hidden="false" customHeight="false" outlineLevel="0" collapsed="false">
      <c r="A20" s="0" t="s">
        <v>73</v>
      </c>
      <c r="B20" s="0" t="s">
        <v>74</v>
      </c>
      <c r="C20" s="0" t="s">
        <v>35</v>
      </c>
    </row>
    <row r="21" customFormat="false" ht="14.65" hidden="false" customHeight="false" outlineLevel="0" collapsed="false">
      <c r="A21" s="0" t="s">
        <v>75</v>
      </c>
      <c r="B21" s="0" t="s">
        <v>76</v>
      </c>
    </row>
    <row r="22" customFormat="false" ht="14.65" hidden="false" customHeight="false" outlineLevel="0" collapsed="false">
      <c r="A22" s="0" t="s">
        <v>77</v>
      </c>
      <c r="B22" s="0" t="s">
        <v>78</v>
      </c>
      <c r="C22" s="0" t="e">
        <f aca="false">+layx6+layx7+layx</f>
        <v>#VALUE!</v>
      </c>
      <c r="D22" s="0" t="s">
        <v>79</v>
      </c>
      <c r="E22" s="0" t="s">
        <v>80</v>
      </c>
      <c r="F22" s="0" t="n">
        <v>1</v>
      </c>
    </row>
    <row r="23" customFormat="false" ht="14.65" hidden="false" customHeight="false" outlineLevel="0" collapsed="false">
      <c r="A23" s="0" t="s">
        <v>81</v>
      </c>
      <c r="B23" s="0" t="s">
        <v>82</v>
      </c>
      <c r="C23" s="0" t="s">
        <v>83</v>
      </c>
      <c r="D23" s="0" t="s">
        <v>84</v>
      </c>
      <c r="E23" s="0" t="s">
        <v>85</v>
      </c>
      <c r="F23" s="0" t="n">
        <v>1</v>
      </c>
    </row>
    <row r="24" customFormat="false" ht="14.65" hidden="false" customHeight="false" outlineLevel="0" collapsed="false">
      <c r="A24" s="0" t="s">
        <v>86</v>
      </c>
      <c r="B24" s="0" t="s">
        <v>87</v>
      </c>
      <c r="C24" s="0" t="s">
        <v>88</v>
      </c>
      <c r="D24" s="0" t="s">
        <v>89</v>
      </c>
      <c r="E24" s="0" t="s">
        <v>90</v>
      </c>
    </row>
    <row r="25" customFormat="false" ht="14.65" hidden="false" customHeight="false" outlineLevel="0" collapsed="false">
      <c r="A25" s="0" t="s">
        <v>91</v>
      </c>
      <c r="B25" s="0" t="s">
        <v>92</v>
      </c>
    </row>
    <row r="27" customFormat="false" ht="14.65" hidden="false" customHeight="false" outlineLevel="0" collapsed="false">
      <c r="A27" s="0" t="s">
        <v>93</v>
      </c>
      <c r="B27" s="0" t="e">
        <f aca="false">+ns2.</f>
        <v>#VALUE!</v>
      </c>
    </row>
    <row r="28" customFormat="false" ht="14.65" hidden="false" customHeight="false" outlineLevel="0" collapsed="false">
      <c r="A28" s="0" t="s">
        <v>94</v>
      </c>
      <c r="B28" s="0" t="e">
        <f aca="false">+ts2.</f>
        <v>#VALUE!</v>
      </c>
    </row>
    <row r="30" customFormat="false" ht="14.65" hidden="false" customHeight="false" outlineLevel="0" collapsed="false">
      <c r="A30" s="0" t="s">
        <v>95</v>
      </c>
      <c r="B30" s="0" t="s">
        <v>96</v>
      </c>
      <c r="C30" s="0" t="s">
        <v>97</v>
      </c>
      <c r="D30" s="0" t="s">
        <v>98</v>
      </c>
      <c r="E30" s="0" t="s">
        <v>99</v>
      </c>
      <c r="F30" s="0" t="s">
        <v>100</v>
      </c>
    </row>
    <row r="31" customFormat="false" ht="14.65" hidden="false" customHeight="false" outlineLevel="0" collapsed="false">
      <c r="A31" s="0" t="s">
        <v>101</v>
      </c>
      <c r="B31" s="0" t="s">
        <v>102</v>
      </c>
      <c r="C31" s="0" t="s">
        <v>103</v>
      </c>
      <c r="D31" s="0" t="s">
        <v>104</v>
      </c>
    </row>
    <row r="32" customFormat="false" ht="14.65" hidden="false" customHeight="false" outlineLevel="0" collapsed="false">
      <c r="A32" s="0" t="s">
        <v>105</v>
      </c>
      <c r="B32" s="0" t="s">
        <v>106</v>
      </c>
      <c r="C32" s="0" t="s">
        <v>107</v>
      </c>
      <c r="D32" s="0" t="s">
        <v>108</v>
      </c>
      <c r="E32" s="0" t="s">
        <v>109</v>
      </c>
    </row>
    <row r="33" customFormat="false" ht="14.65" hidden="false" customHeight="false" outlineLevel="0" collapsed="false">
      <c r="A33" s="0" t="s">
        <v>58</v>
      </c>
      <c r="B33" s="0" t="s">
        <v>59</v>
      </c>
      <c r="C33" s="0" t="s">
        <v>60</v>
      </c>
      <c r="D33" s="0" t="s">
        <v>61</v>
      </c>
      <c r="E33" s="0" t="s">
        <v>62</v>
      </c>
      <c r="F33" s="0" t="s">
        <v>63</v>
      </c>
    </row>
    <row r="34" customFormat="false" ht="14.65" hidden="false" customHeight="false" outlineLevel="0" collapsed="false">
      <c r="A34" s="0" t="s">
        <v>110</v>
      </c>
      <c r="C34" s="0" t="s">
        <v>45</v>
      </c>
      <c r="F34" s="34" t="n">
        <v>34011</v>
      </c>
    </row>
    <row r="36" customFormat="false" ht="14.65" hidden="false" customHeight="false" outlineLevel="0" collapsed="false">
      <c r="A36" s="0" t="s">
        <v>111</v>
      </c>
      <c r="B36" s="0" t="s">
        <v>112</v>
      </c>
      <c r="C36" s="0" t="s">
        <v>113</v>
      </c>
    </row>
    <row r="37" customFormat="false" ht="14.65" hidden="false" customHeight="false" outlineLevel="0" collapsed="false">
      <c r="A37" s="0" t="s">
        <v>114</v>
      </c>
      <c r="B37" s="0" t="s">
        <v>115</v>
      </c>
      <c r="C37" s="0" t="s">
        <v>116</v>
      </c>
      <c r="D37" s="0" t="s">
        <v>117</v>
      </c>
      <c r="E37" s="0" t="s">
        <v>118</v>
      </c>
      <c r="F37" s="0" t="s">
        <v>119</v>
      </c>
    </row>
    <row r="38" customFormat="false" ht="14.65" hidden="false" customHeight="false" outlineLevel="0" collapsed="false">
      <c r="A38" s="0" t="s">
        <v>120</v>
      </c>
      <c r="B38" s="0" t="s">
        <v>121</v>
      </c>
    </row>
    <row r="39" customFormat="false" ht="14.65" hidden="false" customHeight="false" outlineLevel="0" collapsed="false">
      <c r="A39" s="0" t="s">
        <v>122</v>
      </c>
      <c r="B39" s="0" t="s">
        <v>123</v>
      </c>
    </row>
    <row r="42" customFormat="false" ht="14.65" hidden="false" customHeight="false" outlineLevel="0" collapsed="false">
      <c r="A42" s="0" t="s">
        <v>58</v>
      </c>
      <c r="B42" s="0" t="s">
        <v>59</v>
      </c>
      <c r="C42" s="0" t="s">
        <v>60</v>
      </c>
      <c r="D42" s="0" t="s">
        <v>61</v>
      </c>
      <c r="E42" s="0" t="s">
        <v>62</v>
      </c>
      <c r="F42" s="0" t="s">
        <v>63</v>
      </c>
    </row>
    <row r="43" customFormat="false" ht="14.65" hidden="false" customHeight="false" outlineLevel="0" collapsed="false">
      <c r="A43" s="0" t="s">
        <v>124</v>
      </c>
      <c r="C43" s="0" t="s">
        <v>45</v>
      </c>
      <c r="F43" s="34" t="n">
        <v>34011</v>
      </c>
    </row>
    <row r="45" customFormat="false" ht="14.65" hidden="false" customHeight="false" outlineLevel="0" collapsed="false">
      <c r="A45" s="0" t="s">
        <v>125</v>
      </c>
    </row>
    <row r="46" customFormat="false" ht="14.65" hidden="false" customHeight="false" outlineLevel="0" collapsed="false">
      <c r="A46" s="0" t="s">
        <v>95</v>
      </c>
      <c r="B46" s="0" t="s">
        <v>96</v>
      </c>
      <c r="C46" s="0" t="s">
        <v>97</v>
      </c>
      <c r="D46" s="0" t="s">
        <v>98</v>
      </c>
      <c r="E46" s="0" t="s">
        <v>99</v>
      </c>
      <c r="F46" s="0" t="s">
        <v>126</v>
      </c>
    </row>
    <row r="47" customFormat="false" ht="14.65" hidden="false" customHeight="false" outlineLevel="0" collapsed="false">
      <c r="A47" s="0" t="s">
        <v>101</v>
      </c>
      <c r="B47" s="0" t="s">
        <v>102</v>
      </c>
      <c r="C47" s="0" t="s">
        <v>103</v>
      </c>
      <c r="D47" s="0" t="s">
        <v>104</v>
      </c>
    </row>
    <row r="48" customFormat="false" ht="14.65" hidden="false" customHeight="false" outlineLevel="0" collapsed="false">
      <c r="A48" s="0" t="s">
        <v>105</v>
      </c>
      <c r="B48" s="0" t="s">
        <v>106</v>
      </c>
      <c r="C48" s="0" t="s">
        <v>107</v>
      </c>
      <c r="D48" s="0" t="s">
        <v>108</v>
      </c>
      <c r="E48" s="0" t="s">
        <v>109</v>
      </c>
    </row>
    <row r="50" customFormat="false" ht="14.65" hidden="false" customHeight="false" outlineLevel="0" collapsed="false">
      <c r="A50" s="0" t="s">
        <v>127</v>
      </c>
      <c r="B50" s="0" t="s">
        <v>128</v>
      </c>
      <c r="C50" s="0" t="s">
        <v>129</v>
      </c>
      <c r="D50" s="0" t="s">
        <v>130</v>
      </c>
      <c r="E50" s="0" t="s">
        <v>131</v>
      </c>
      <c r="F50" s="0" t="s">
        <v>132</v>
      </c>
    </row>
    <row r="53" customFormat="false" ht="14.65" hidden="false" customHeight="false" outlineLevel="0" collapsed="false">
      <c r="A53" s="0" t="s">
        <v>58</v>
      </c>
      <c r="B53" s="0" t="s">
        <v>59</v>
      </c>
      <c r="C53" s="0" t="s">
        <v>60</v>
      </c>
      <c r="D53" s="0" t="s">
        <v>61</v>
      </c>
      <c r="E53" s="0" t="s">
        <v>62</v>
      </c>
      <c r="F53" s="0" t="s">
        <v>63</v>
      </c>
    </row>
    <row r="54" customFormat="false" ht="14.65" hidden="false" customHeight="false" outlineLevel="0" collapsed="false">
      <c r="A54" s="0" t="s">
        <v>133</v>
      </c>
      <c r="C54" s="0" t="s">
        <v>45</v>
      </c>
      <c r="F54" s="34" t="n">
        <v>34011</v>
      </c>
    </row>
    <row r="56" customFormat="false" ht="14.65" hidden="false" customHeight="false" outlineLevel="0" collapsed="false">
      <c r="A56" s="0" t="s">
        <v>134</v>
      </c>
      <c r="B56" s="0" t="s">
        <v>135</v>
      </c>
    </row>
    <row r="57" customFormat="false" ht="14.65" hidden="false" customHeight="false" outlineLevel="0" collapsed="false">
      <c r="A57" s="0" t="s">
        <v>136</v>
      </c>
      <c r="B57" s="0" t="s">
        <v>137</v>
      </c>
    </row>
    <row r="59" customFormat="false" ht="14.65" hidden="false" customHeight="false" outlineLevel="0" collapsed="false">
      <c r="A59" s="0" t="s">
        <v>138</v>
      </c>
      <c r="B59" s="0" t="s">
        <v>139</v>
      </c>
      <c r="D59" s="0" t="s">
        <v>6</v>
      </c>
      <c r="E59" s="0" t="s">
        <v>7</v>
      </c>
      <c r="F59" s="0" t="s">
        <v>9</v>
      </c>
    </row>
    <row r="61" customFormat="false" ht="14.65" hidden="false" customHeight="false" outlineLevel="0" collapsed="false">
      <c r="A61" s="0" t="s">
        <v>140</v>
      </c>
      <c r="B61" s="0" t="s">
        <v>141</v>
      </c>
      <c r="C61" s="0" t="n">
        <v>9</v>
      </c>
      <c r="D61" s="0" t="n">
        <v>84.1785</v>
      </c>
      <c r="E61" s="0" t="n">
        <v>257.4312</v>
      </c>
      <c r="F61" s="0" t="n">
        <v>8159</v>
      </c>
    </row>
    <row r="63" customFormat="false" ht="14.65" hidden="false" customHeight="false" outlineLevel="0" collapsed="false">
      <c r="A63" s="0" t="s">
        <v>137</v>
      </c>
      <c r="B63" s="0" t="n">
        <v>1</v>
      </c>
      <c r="C63" s="0" t="n">
        <v>9</v>
      </c>
      <c r="D63" s="0" t="n">
        <v>84.1785</v>
      </c>
      <c r="E63" s="0" t="n">
        <v>257.4312</v>
      </c>
      <c r="F63" s="0" t="n">
        <v>8159</v>
      </c>
    </row>
    <row r="65" customFormat="false" ht="14.65" hidden="false" customHeight="false" outlineLevel="0" collapsed="false">
      <c r="A65" s="0" t="s">
        <v>142</v>
      </c>
      <c r="B65" s="0" t="n">
        <v>8159</v>
      </c>
    </row>
    <row r="66" customFormat="false" ht="14.65" hidden="false" customHeight="false" outlineLevel="0" collapsed="false">
      <c r="A66" s="0" t="s">
        <v>58</v>
      </c>
      <c r="B66" s="0" t="s">
        <v>59</v>
      </c>
      <c r="C66" s="0" t="s">
        <v>60</v>
      </c>
      <c r="D66" s="0" t="s">
        <v>61</v>
      </c>
      <c r="E66" s="0" t="s">
        <v>62</v>
      </c>
      <c r="F66" s="0" t="s">
        <v>63</v>
      </c>
    </row>
    <row r="67" customFormat="false" ht="14.65" hidden="false" customHeight="false" outlineLevel="0" collapsed="false">
      <c r="A67" s="0" t="s">
        <v>143</v>
      </c>
      <c r="C67" s="0" t="s">
        <v>45</v>
      </c>
      <c r="F67" s="34" t="n">
        <v>34011</v>
      </c>
    </row>
    <row r="69" customFormat="false" ht="14.65" hidden="false" customHeight="false" outlineLevel="0" collapsed="false">
      <c r="A69" s="0" t="s">
        <v>134</v>
      </c>
      <c r="B69" s="0" t="s">
        <v>26</v>
      </c>
    </row>
    <row r="70" customFormat="false" ht="14.65" hidden="false" customHeight="false" outlineLevel="0" collapsed="false">
      <c r="A70" s="0" t="s">
        <v>136</v>
      </c>
      <c r="B70" s="0" t="s">
        <v>137</v>
      </c>
    </row>
    <row r="72" customFormat="false" ht="14.65" hidden="false" customHeight="false" outlineLevel="0" collapsed="false">
      <c r="A72" s="0" t="s">
        <v>138</v>
      </c>
      <c r="B72" s="0" t="s">
        <v>139</v>
      </c>
      <c r="D72" s="0" t="s">
        <v>6</v>
      </c>
      <c r="E72" s="0" t="s">
        <v>7</v>
      </c>
      <c r="F72" s="0" t="s">
        <v>9</v>
      </c>
    </row>
    <row r="74" customFormat="false" ht="14.65" hidden="false" customHeight="false" outlineLevel="0" collapsed="false">
      <c r="A74" s="0" t="s">
        <v>140</v>
      </c>
      <c r="B74" s="0" t="s">
        <v>141</v>
      </c>
      <c r="C74" s="0" t="n">
        <v>2</v>
      </c>
      <c r="D74" s="0" t="n">
        <v>59.7991</v>
      </c>
      <c r="E74" s="0" t="n">
        <v>271.2033</v>
      </c>
      <c r="F74" s="0" t="n">
        <v>8159</v>
      </c>
    </row>
    <row r="76" customFormat="false" ht="14.65" hidden="false" customHeight="false" outlineLevel="0" collapsed="false">
      <c r="A76" s="0" t="s">
        <v>137</v>
      </c>
      <c r="B76" s="0" t="n">
        <v>1</v>
      </c>
      <c r="C76" s="0" t="n">
        <v>2</v>
      </c>
      <c r="D76" s="0" t="n">
        <v>59.7991</v>
      </c>
      <c r="E76" s="0" t="n">
        <v>271.2033</v>
      </c>
      <c r="F76" s="0" t="n">
        <v>8159</v>
      </c>
    </row>
    <row r="78" customFormat="false" ht="14.65" hidden="false" customHeight="false" outlineLevel="0" collapsed="false">
      <c r="A78" s="0" t="s">
        <v>142</v>
      </c>
      <c r="B78" s="0" t="n">
        <v>8159</v>
      </c>
    </row>
    <row r="79" customFormat="false" ht="14.65" hidden="false" customHeight="false" outlineLevel="0" collapsed="false">
      <c r="A79" s="0" t="s">
        <v>58</v>
      </c>
      <c r="B79" s="0" t="s">
        <v>59</v>
      </c>
      <c r="C79" s="0" t="s">
        <v>60</v>
      </c>
      <c r="D79" s="0" t="s">
        <v>61</v>
      </c>
      <c r="E79" s="0" t="s">
        <v>62</v>
      </c>
      <c r="F79" s="0" t="s">
        <v>63</v>
      </c>
    </row>
    <row r="80" customFormat="false" ht="14.65" hidden="false" customHeight="false" outlineLevel="0" collapsed="false">
      <c r="A80" s="0" t="s">
        <v>144</v>
      </c>
      <c r="C80" s="0" t="s">
        <v>45</v>
      </c>
      <c r="F80" s="34" t="n">
        <v>34011</v>
      </c>
    </row>
    <row r="82" customFormat="false" ht="14.65" hidden="false" customHeight="false" outlineLevel="0" collapsed="false">
      <c r="A82" s="0" t="s">
        <v>134</v>
      </c>
      <c r="B82" s="0" t="s">
        <v>145</v>
      </c>
    </row>
    <row r="83" customFormat="false" ht="14.65" hidden="false" customHeight="false" outlineLevel="0" collapsed="false">
      <c r="A83" s="0" t="s">
        <v>136</v>
      </c>
      <c r="B83" s="0" t="s">
        <v>137</v>
      </c>
    </row>
    <row r="85" customFormat="false" ht="14.65" hidden="false" customHeight="false" outlineLevel="0" collapsed="false">
      <c r="A85" s="0" t="s">
        <v>138</v>
      </c>
      <c r="B85" s="0" t="s">
        <v>139</v>
      </c>
      <c r="D85" s="0" t="s">
        <v>6</v>
      </c>
      <c r="E85" s="0" t="s">
        <v>7</v>
      </c>
      <c r="F85" s="0" t="s">
        <v>9</v>
      </c>
    </row>
    <row r="87" customFormat="false" ht="14.65" hidden="false" customHeight="false" outlineLevel="0" collapsed="false">
      <c r="A87" s="0" t="s">
        <v>140</v>
      </c>
      <c r="B87" s="0" t="s">
        <v>141</v>
      </c>
      <c r="D87" s="0" t="n">
        <v>21.291</v>
      </c>
      <c r="E87" s="0" t="n">
        <v>56.2797</v>
      </c>
      <c r="F87" s="0" t="n">
        <v>8159</v>
      </c>
    </row>
    <row r="89" customFormat="false" ht="14.65" hidden="false" customHeight="false" outlineLevel="0" collapsed="false">
      <c r="A89" s="0" t="s">
        <v>137</v>
      </c>
      <c r="B89" s="0" t="n">
        <v>1</v>
      </c>
      <c r="D89" s="0" t="n">
        <v>21.291</v>
      </c>
      <c r="E89" s="0" t="n">
        <v>56.2797</v>
      </c>
      <c r="F89" s="0" t="n">
        <v>8159</v>
      </c>
    </row>
    <row r="91" customFormat="false" ht="14.65" hidden="false" customHeight="false" outlineLevel="0" collapsed="false">
      <c r="A91" s="0" t="s">
        <v>142</v>
      </c>
      <c r="B91" s="0" t="n">
        <v>8159</v>
      </c>
    </row>
    <row r="92" customFormat="false" ht="14.65" hidden="false" customHeight="false" outlineLevel="0" collapsed="false">
      <c r="A92" s="0" t="s">
        <v>58</v>
      </c>
      <c r="B92" s="0" t="s">
        <v>59</v>
      </c>
      <c r="C92" s="0" t="s">
        <v>60</v>
      </c>
      <c r="D92" s="0" t="s">
        <v>61</v>
      </c>
      <c r="E92" s="0" t="s">
        <v>62</v>
      </c>
      <c r="F92" s="0" t="s">
        <v>63</v>
      </c>
    </row>
    <row r="93" customFormat="false" ht="14.65" hidden="false" customHeight="false" outlineLevel="0" collapsed="false">
      <c r="A93" s="0" t="s">
        <v>146</v>
      </c>
      <c r="C93" s="0" t="s">
        <v>45</v>
      </c>
      <c r="F93" s="34" t="n">
        <v>34011</v>
      </c>
    </row>
    <row r="95" customFormat="false" ht="14.65" hidden="false" customHeight="false" outlineLevel="0" collapsed="false">
      <c r="A95" s="0" t="s">
        <v>134</v>
      </c>
      <c r="B95" s="0" t="s">
        <v>147</v>
      </c>
    </row>
    <row r="96" customFormat="false" ht="14.65" hidden="false" customHeight="false" outlineLevel="0" collapsed="false">
      <c r="A96" s="0" t="s">
        <v>136</v>
      </c>
      <c r="B96" s="0" t="s">
        <v>137</v>
      </c>
    </row>
    <row r="98" customFormat="false" ht="14.65" hidden="false" customHeight="false" outlineLevel="0" collapsed="false">
      <c r="A98" s="0" t="s">
        <v>138</v>
      </c>
      <c r="B98" s="0" t="s">
        <v>139</v>
      </c>
      <c r="D98" s="0" t="s">
        <v>6</v>
      </c>
      <c r="E98" s="0" t="s">
        <v>7</v>
      </c>
      <c r="F98" s="0" t="s">
        <v>9</v>
      </c>
    </row>
    <row r="100" customFormat="false" ht="14.65" hidden="false" customHeight="false" outlineLevel="0" collapsed="false">
      <c r="A100" s="0" t="s">
        <v>140</v>
      </c>
      <c r="B100" s="0" t="s">
        <v>141</v>
      </c>
      <c r="D100" s="0" t="n">
        <v>25.2097</v>
      </c>
      <c r="E100" s="0" t="n">
        <v>74.4965</v>
      </c>
      <c r="F100" s="0" t="n">
        <v>8159</v>
      </c>
    </row>
    <row r="102" customFormat="false" ht="14.65" hidden="false" customHeight="false" outlineLevel="0" collapsed="false">
      <c r="A102" s="0" t="s">
        <v>137</v>
      </c>
      <c r="B102" s="0" t="n">
        <v>1</v>
      </c>
      <c r="D102" s="0" t="n">
        <v>25.2097</v>
      </c>
      <c r="E102" s="0" t="n">
        <v>74.4965</v>
      </c>
      <c r="F102" s="0" t="n">
        <v>8159</v>
      </c>
    </row>
    <row r="104" customFormat="false" ht="14.65" hidden="false" customHeight="false" outlineLevel="0" collapsed="false">
      <c r="A104" s="0" t="s">
        <v>142</v>
      </c>
      <c r="B104" s="0" t="n">
        <v>8159</v>
      </c>
    </row>
    <row r="105" customFormat="false" ht="14.65" hidden="false" customHeight="false" outlineLevel="0" collapsed="false">
      <c r="A105" s="0" t="s">
        <v>58</v>
      </c>
      <c r="B105" s="0" t="s">
        <v>59</v>
      </c>
      <c r="C105" s="0" t="s">
        <v>60</v>
      </c>
      <c r="D105" s="0" t="s">
        <v>61</v>
      </c>
      <c r="E105" s="0" t="s">
        <v>62</v>
      </c>
      <c r="F105" s="0" t="s">
        <v>63</v>
      </c>
    </row>
    <row r="106" customFormat="false" ht="14.65" hidden="false" customHeight="false" outlineLevel="0" collapsed="false">
      <c r="A106" s="0" t="s">
        <v>148</v>
      </c>
      <c r="C106" s="0" t="s">
        <v>45</v>
      </c>
      <c r="F106" s="34" t="n">
        <v>34011</v>
      </c>
    </row>
    <row r="108" customFormat="false" ht="14.65" hidden="false" customHeight="false" outlineLevel="0" collapsed="false">
      <c r="A108" s="0" t="s">
        <v>134</v>
      </c>
      <c r="B108" s="0" t="s">
        <v>149</v>
      </c>
    </row>
    <row r="109" customFormat="false" ht="14.65" hidden="false" customHeight="false" outlineLevel="0" collapsed="false">
      <c r="A109" s="0" t="s">
        <v>136</v>
      </c>
      <c r="B109" s="0" t="s">
        <v>137</v>
      </c>
    </row>
    <row r="111" customFormat="false" ht="14.65" hidden="false" customHeight="false" outlineLevel="0" collapsed="false">
      <c r="A111" s="0" t="s">
        <v>138</v>
      </c>
      <c r="B111" s="0" t="s">
        <v>139</v>
      </c>
      <c r="D111" s="0" t="s">
        <v>6</v>
      </c>
      <c r="E111" s="0" t="s">
        <v>7</v>
      </c>
      <c r="F111" s="0" t="s">
        <v>9</v>
      </c>
    </row>
    <row r="113" customFormat="false" ht="14.65" hidden="false" customHeight="false" outlineLevel="0" collapsed="false">
      <c r="A113" s="0" t="s">
        <v>140</v>
      </c>
      <c r="B113" s="0" t="s">
        <v>141</v>
      </c>
      <c r="D113" s="0" t="n">
        <v>21.3004</v>
      </c>
      <c r="E113" s="0" t="n">
        <v>81.1289</v>
      </c>
      <c r="F113" s="0" t="n">
        <v>8159</v>
      </c>
    </row>
    <row r="115" customFormat="false" ht="14.65" hidden="false" customHeight="false" outlineLevel="0" collapsed="false">
      <c r="A115" s="0" t="s">
        <v>137</v>
      </c>
      <c r="B115" s="0" t="n">
        <v>1</v>
      </c>
      <c r="D115" s="0" t="n">
        <v>21.3004</v>
      </c>
      <c r="E115" s="0" t="n">
        <v>81.1289</v>
      </c>
      <c r="F115" s="0" t="n">
        <v>8159</v>
      </c>
    </row>
    <row r="117" customFormat="false" ht="14.65" hidden="false" customHeight="false" outlineLevel="0" collapsed="false">
      <c r="A117" s="0" t="s">
        <v>142</v>
      </c>
      <c r="B117" s="0" t="n">
        <v>8159</v>
      </c>
    </row>
    <row r="118" customFormat="false" ht="14.65" hidden="false" customHeight="false" outlineLevel="0" collapsed="false">
      <c r="A118" s="0" t="s">
        <v>58</v>
      </c>
      <c r="B118" s="0" t="s">
        <v>59</v>
      </c>
      <c r="C118" s="0" t="s">
        <v>60</v>
      </c>
      <c r="D118" s="0" t="s">
        <v>61</v>
      </c>
      <c r="E118" s="0" t="s">
        <v>62</v>
      </c>
      <c r="F118" s="0" t="s">
        <v>63</v>
      </c>
    </row>
    <row r="119" customFormat="false" ht="14.65" hidden="false" customHeight="false" outlineLevel="0" collapsed="false">
      <c r="A119" s="0" t="s">
        <v>150</v>
      </c>
      <c r="C119" s="0" t="s">
        <v>45</v>
      </c>
      <c r="F119" s="34" t="n">
        <v>34011</v>
      </c>
    </row>
    <row r="121" customFormat="false" ht="14.65" hidden="false" customHeight="false" outlineLevel="0" collapsed="false">
      <c r="A121" s="0" t="s">
        <v>134</v>
      </c>
      <c r="B121" s="0" t="s">
        <v>151</v>
      </c>
    </row>
    <row r="122" customFormat="false" ht="14.65" hidden="false" customHeight="false" outlineLevel="0" collapsed="false">
      <c r="A122" s="0" t="s">
        <v>136</v>
      </c>
      <c r="B122" s="0" t="s">
        <v>137</v>
      </c>
    </row>
    <row r="124" customFormat="false" ht="14.65" hidden="false" customHeight="false" outlineLevel="0" collapsed="false">
      <c r="A124" s="0" t="s">
        <v>138</v>
      </c>
      <c r="B124" s="0" t="s">
        <v>139</v>
      </c>
      <c r="D124" s="0" t="s">
        <v>6</v>
      </c>
      <c r="E124" s="0" t="s">
        <v>7</v>
      </c>
      <c r="F124" s="0" t="s">
        <v>9</v>
      </c>
    </row>
    <row r="126" customFormat="false" ht="14.65" hidden="false" customHeight="false" outlineLevel="0" collapsed="false">
      <c r="A126" s="0" t="s">
        <v>140</v>
      </c>
      <c r="B126" s="0" t="s">
        <v>141</v>
      </c>
      <c r="D126" s="0" t="n">
        <v>1.7422</v>
      </c>
      <c r="E126" s="0" t="n">
        <v>15.9579</v>
      </c>
      <c r="F126" s="0" t="n">
        <v>8159</v>
      </c>
    </row>
    <row r="128" customFormat="false" ht="14.65" hidden="false" customHeight="false" outlineLevel="0" collapsed="false">
      <c r="A128" s="0" t="s">
        <v>137</v>
      </c>
      <c r="B128" s="0" t="n">
        <v>1</v>
      </c>
      <c r="D128" s="0" t="n">
        <v>1.7422</v>
      </c>
      <c r="E128" s="0" t="n">
        <v>15.9579</v>
      </c>
      <c r="F128" s="0" t="n">
        <v>8159</v>
      </c>
    </row>
    <row r="130" customFormat="false" ht="14.65" hidden="false" customHeight="false" outlineLevel="0" collapsed="false">
      <c r="A130" s="0" t="s">
        <v>142</v>
      </c>
      <c r="B130" s="0" t="n">
        <v>8159</v>
      </c>
    </row>
    <row r="131" customFormat="false" ht="14.65" hidden="false" customHeight="false" outlineLevel="0" collapsed="false">
      <c r="A131" s="0" t="s">
        <v>58</v>
      </c>
      <c r="B131" s="0" t="s">
        <v>59</v>
      </c>
      <c r="C131" s="0" t="s">
        <v>60</v>
      </c>
      <c r="D131" s="0" t="s">
        <v>61</v>
      </c>
      <c r="E131" s="0" t="s">
        <v>62</v>
      </c>
      <c r="F131" s="0" t="s">
        <v>63</v>
      </c>
    </row>
    <row r="132" customFormat="false" ht="14.65" hidden="false" customHeight="false" outlineLevel="0" collapsed="false">
      <c r="A132" s="0" t="s">
        <v>152</v>
      </c>
      <c r="C132" s="0" t="s">
        <v>45</v>
      </c>
      <c r="F132" s="34" t="n">
        <v>34011</v>
      </c>
    </row>
    <row r="134" customFormat="false" ht="14.65" hidden="false" customHeight="false" outlineLevel="0" collapsed="false">
      <c r="A134" s="0" t="s">
        <v>134</v>
      </c>
      <c r="B134" s="0" t="s">
        <v>153</v>
      </c>
    </row>
    <row r="135" customFormat="false" ht="14.65" hidden="false" customHeight="false" outlineLevel="0" collapsed="false">
      <c r="A135" s="0" t="s">
        <v>136</v>
      </c>
      <c r="B135" s="0" t="s">
        <v>137</v>
      </c>
    </row>
    <row r="137" customFormat="false" ht="14.65" hidden="false" customHeight="false" outlineLevel="0" collapsed="false">
      <c r="A137" s="0" t="s">
        <v>138</v>
      </c>
      <c r="B137" s="0" t="s">
        <v>139</v>
      </c>
      <c r="D137" s="0" t="s">
        <v>6</v>
      </c>
      <c r="E137" s="0" t="s">
        <v>7</v>
      </c>
      <c r="F137" s="0" t="s">
        <v>9</v>
      </c>
    </row>
    <row r="139" customFormat="false" ht="14.65" hidden="false" customHeight="false" outlineLevel="0" collapsed="false">
      <c r="A139" s="0" t="s">
        <v>140</v>
      </c>
      <c r="B139" s="0" t="s">
        <v>141</v>
      </c>
      <c r="D139" s="0" t="n">
        <v>26.7031</v>
      </c>
      <c r="E139" s="0" t="n">
        <v>85.5561</v>
      </c>
      <c r="F139" s="0" t="n">
        <v>8159</v>
      </c>
    </row>
    <row r="141" customFormat="false" ht="14.65" hidden="false" customHeight="false" outlineLevel="0" collapsed="false">
      <c r="A141" s="0" t="s">
        <v>137</v>
      </c>
      <c r="B141" s="0" t="n">
        <v>1</v>
      </c>
      <c r="D141" s="0" t="n">
        <v>26.7031</v>
      </c>
      <c r="E141" s="0" t="n">
        <v>85.5561</v>
      </c>
      <c r="F141" s="0" t="n">
        <v>8159</v>
      </c>
    </row>
    <row r="143" customFormat="false" ht="14.65" hidden="false" customHeight="false" outlineLevel="0" collapsed="false">
      <c r="A143" s="0" t="s">
        <v>142</v>
      </c>
      <c r="B143" s="0" t="n">
        <v>8159</v>
      </c>
    </row>
    <row r="144" customFormat="false" ht="14.65" hidden="false" customHeight="false" outlineLevel="0" collapsed="false">
      <c r="A144" s="0" t="s">
        <v>58</v>
      </c>
      <c r="B144" s="0" t="s">
        <v>59</v>
      </c>
      <c r="C144" s="0" t="s">
        <v>60</v>
      </c>
      <c r="D144" s="0" t="s">
        <v>61</v>
      </c>
      <c r="E144" s="0" t="s">
        <v>62</v>
      </c>
      <c r="F144" s="0" t="s">
        <v>63</v>
      </c>
    </row>
    <row r="145" customFormat="false" ht="14.65" hidden="false" customHeight="false" outlineLevel="0" collapsed="false">
      <c r="A145" s="0" t="s">
        <v>154</v>
      </c>
      <c r="C145" s="0" t="s">
        <v>45</v>
      </c>
      <c r="F145" s="34" t="n">
        <v>34011</v>
      </c>
    </row>
    <row r="147" customFormat="false" ht="14.65" hidden="false" customHeight="false" outlineLevel="0" collapsed="false">
      <c r="A147" s="0" t="s">
        <v>134</v>
      </c>
      <c r="B147" s="0" t="s">
        <v>155</v>
      </c>
    </row>
    <row r="148" customFormat="false" ht="14.65" hidden="false" customHeight="false" outlineLevel="0" collapsed="false">
      <c r="A148" s="0" t="s">
        <v>136</v>
      </c>
      <c r="B148" s="0" t="s">
        <v>137</v>
      </c>
    </row>
    <row r="150" customFormat="false" ht="14.65" hidden="false" customHeight="false" outlineLevel="0" collapsed="false">
      <c r="A150" s="0" t="s">
        <v>138</v>
      </c>
      <c r="B150" s="0" t="s">
        <v>139</v>
      </c>
      <c r="D150" s="0" t="s">
        <v>6</v>
      </c>
      <c r="E150" s="0" t="s">
        <v>7</v>
      </c>
      <c r="F150" s="0" t="s">
        <v>9</v>
      </c>
    </row>
    <row r="152" customFormat="false" ht="14.65" hidden="false" customHeight="false" outlineLevel="0" collapsed="false">
      <c r="A152" s="0" t="s">
        <v>140</v>
      </c>
      <c r="B152" s="0" t="s">
        <v>141</v>
      </c>
      <c r="D152" s="0" t="n">
        <v>32.5632</v>
      </c>
      <c r="E152" s="0" t="n">
        <v>88.8244</v>
      </c>
      <c r="F152" s="0" t="n">
        <v>8159</v>
      </c>
    </row>
    <row r="154" customFormat="false" ht="14.65" hidden="false" customHeight="false" outlineLevel="0" collapsed="false">
      <c r="A154" s="0" t="s">
        <v>137</v>
      </c>
      <c r="B154" s="0" t="n">
        <v>1</v>
      </c>
      <c r="D154" s="0" t="n">
        <v>32.5632</v>
      </c>
      <c r="E154" s="0" t="n">
        <v>88.8244</v>
      </c>
      <c r="F154" s="0" t="n">
        <v>8159</v>
      </c>
    </row>
    <row r="156" customFormat="false" ht="14.65" hidden="false" customHeight="false" outlineLevel="0" collapsed="false">
      <c r="A156" s="0" t="s">
        <v>142</v>
      </c>
      <c r="B156" s="0" t="n">
        <v>8159</v>
      </c>
    </row>
    <row r="157" customFormat="false" ht="14.65" hidden="false" customHeight="false" outlineLevel="0" collapsed="false">
      <c r="A157" s="0" t="s">
        <v>58</v>
      </c>
      <c r="B157" s="0" t="s">
        <v>59</v>
      </c>
      <c r="C157" s="0" t="s">
        <v>60</v>
      </c>
      <c r="D157" s="0" t="s">
        <v>61</v>
      </c>
      <c r="E157" s="0" t="s">
        <v>62</v>
      </c>
      <c r="F157" s="0" t="s">
        <v>63</v>
      </c>
    </row>
    <row r="158" customFormat="false" ht="14.65" hidden="false" customHeight="false" outlineLevel="0" collapsed="false">
      <c r="A158" s="0" t="s">
        <v>156</v>
      </c>
      <c r="C158" s="0" t="s">
        <v>45</v>
      </c>
      <c r="F158" s="34" t="n">
        <v>34011</v>
      </c>
    </row>
    <row r="160" customFormat="false" ht="14.65" hidden="false" customHeight="false" outlineLevel="0" collapsed="false">
      <c r="A160" s="0" t="s">
        <v>134</v>
      </c>
      <c r="B160" s="0" t="s">
        <v>157</v>
      </c>
    </row>
    <row r="161" customFormat="false" ht="14.65" hidden="false" customHeight="false" outlineLevel="0" collapsed="false">
      <c r="A161" s="0" t="s">
        <v>136</v>
      </c>
      <c r="B161" s="0" t="s">
        <v>137</v>
      </c>
    </row>
    <row r="163" customFormat="false" ht="14.65" hidden="false" customHeight="false" outlineLevel="0" collapsed="false">
      <c r="A163" s="0" t="s">
        <v>138</v>
      </c>
      <c r="B163" s="0" t="s">
        <v>139</v>
      </c>
      <c r="D163" s="0" t="s">
        <v>6</v>
      </c>
      <c r="E163" s="0" t="s">
        <v>7</v>
      </c>
      <c r="F163" s="0" t="s">
        <v>9</v>
      </c>
    </row>
    <row r="165" customFormat="false" ht="14.65" hidden="false" customHeight="false" outlineLevel="0" collapsed="false">
      <c r="A165" s="0" t="s">
        <v>140</v>
      </c>
      <c r="B165" s="0" t="s">
        <v>141</v>
      </c>
      <c r="D165" s="0" t="n">
        <v>1.3938</v>
      </c>
      <c r="E165" s="0" t="n">
        <v>21.738</v>
      </c>
      <c r="F165" s="0" t="n">
        <v>8159</v>
      </c>
    </row>
    <row r="167" customFormat="false" ht="14.65" hidden="false" customHeight="false" outlineLevel="0" collapsed="false">
      <c r="A167" s="0" t="s">
        <v>137</v>
      </c>
      <c r="B167" s="0" t="n">
        <v>1</v>
      </c>
      <c r="D167" s="0" t="n">
        <v>1.3938</v>
      </c>
      <c r="E167" s="0" t="n">
        <v>21.738</v>
      </c>
      <c r="F167" s="0" t="n">
        <v>8159</v>
      </c>
    </row>
    <row r="169" customFormat="false" ht="14.65" hidden="false" customHeight="false" outlineLevel="0" collapsed="false">
      <c r="A169" s="0" t="s">
        <v>142</v>
      </c>
      <c r="B169" s="0" t="n">
        <v>8159</v>
      </c>
    </row>
    <row r="170" customFormat="false" ht="14.65" hidden="false" customHeight="false" outlineLevel="0" collapsed="false">
      <c r="A170" s="0" t="s">
        <v>58</v>
      </c>
      <c r="B170" s="0" t="s">
        <v>59</v>
      </c>
      <c r="C170" s="0" t="s">
        <v>60</v>
      </c>
      <c r="D170" s="0" t="s">
        <v>61</v>
      </c>
      <c r="E170" s="0" t="s">
        <v>62</v>
      </c>
      <c r="F170" s="0" t="s">
        <v>63</v>
      </c>
    </row>
    <row r="171" customFormat="false" ht="14.65" hidden="false" customHeight="false" outlineLevel="0" collapsed="false">
      <c r="A171" s="0" t="s">
        <v>158</v>
      </c>
      <c r="C171" s="0" t="s">
        <v>45</v>
      </c>
      <c r="F171" s="34" t="n">
        <v>34011</v>
      </c>
    </row>
    <row r="173" customFormat="false" ht="14.65" hidden="false" customHeight="false" outlineLevel="0" collapsed="false">
      <c r="A173" s="0" t="s">
        <v>65</v>
      </c>
      <c r="B173" s="0" t="s">
        <v>66</v>
      </c>
      <c r="C173" s="0" t="s">
        <v>159</v>
      </c>
    </row>
    <row r="174" customFormat="false" ht="14.65" hidden="false" customHeight="false" outlineLevel="0" collapsed="false">
      <c r="A174" s="0" t="s">
        <v>160</v>
      </c>
      <c r="B174" s="0" t="s">
        <v>161</v>
      </c>
      <c r="C174" s="0" t="s">
        <v>162</v>
      </c>
      <c r="D174" s="0" t="s">
        <v>163</v>
      </c>
      <c r="E174" s="0" t="s">
        <v>164</v>
      </c>
    </row>
    <row r="176" customFormat="false" ht="14.65" hidden="false" customHeight="false" outlineLevel="0" collapsed="false">
      <c r="A176" s="0" t="s">
        <v>127</v>
      </c>
      <c r="B176" s="0" t="s">
        <v>128</v>
      </c>
      <c r="C176" s="0" t="s">
        <v>129</v>
      </c>
      <c r="D176" s="0" t="s">
        <v>130</v>
      </c>
      <c r="E176" s="0" t="s">
        <v>131</v>
      </c>
      <c r="F176" s="0" t="s">
        <v>132</v>
      </c>
    </row>
    <row r="179" customFormat="false" ht="14.65" hidden="false" customHeight="false" outlineLevel="0" collapsed="false">
      <c r="A179" s="0" t="s">
        <v>58</v>
      </c>
      <c r="B179" s="0" t="s">
        <v>59</v>
      </c>
      <c r="C179" s="0" t="s">
        <v>60</v>
      </c>
      <c r="D179" s="0" t="s">
        <v>61</v>
      </c>
      <c r="E179" s="0" t="s">
        <v>62</v>
      </c>
      <c r="F179" s="0" t="s">
        <v>63</v>
      </c>
    </row>
    <row r="180" customFormat="false" ht="14.65" hidden="false" customHeight="false" outlineLevel="0" collapsed="false">
      <c r="A180" s="0" t="s">
        <v>165</v>
      </c>
      <c r="C180" s="0" t="s">
        <v>45</v>
      </c>
      <c r="F180" s="34" t="n">
        <v>34011</v>
      </c>
    </row>
    <row r="182" customFormat="false" ht="14.65" hidden="false" customHeight="false" outlineLevel="0" collapsed="false">
      <c r="A182" s="0" t="s">
        <v>134</v>
      </c>
      <c r="B182" s="0" t="s">
        <v>166</v>
      </c>
    </row>
    <row r="183" customFormat="false" ht="14.65" hidden="false" customHeight="false" outlineLevel="0" collapsed="false">
      <c r="A183" s="0" t="s">
        <v>136</v>
      </c>
      <c r="B183" s="0" t="s">
        <v>137</v>
      </c>
    </row>
    <row r="185" customFormat="false" ht="14.65" hidden="false" customHeight="false" outlineLevel="0" collapsed="false">
      <c r="A185" s="0" t="s">
        <v>138</v>
      </c>
      <c r="B185" s="0" t="s">
        <v>139</v>
      </c>
      <c r="D185" s="0" t="s">
        <v>6</v>
      </c>
      <c r="E185" s="0" t="s">
        <v>7</v>
      </c>
      <c r="F185" s="0" t="s">
        <v>9</v>
      </c>
    </row>
    <row r="187" customFormat="false" ht="14.65" hidden="false" customHeight="false" outlineLevel="0" collapsed="false">
      <c r="A187" s="0" t="s">
        <v>140</v>
      </c>
      <c r="B187" s="0" t="s">
        <v>141</v>
      </c>
      <c r="D187" s="0" t="n">
        <v>28.8282</v>
      </c>
      <c r="E187" s="0" t="n">
        <v>40.1563</v>
      </c>
      <c r="F187" s="0" t="n">
        <v>8159</v>
      </c>
    </row>
    <row r="189" customFormat="false" ht="14.65" hidden="false" customHeight="false" outlineLevel="0" collapsed="false">
      <c r="A189" s="0" t="s">
        <v>137</v>
      </c>
      <c r="B189" s="0" t="n">
        <v>1</v>
      </c>
      <c r="D189" s="0" t="n">
        <v>28.8282</v>
      </c>
      <c r="E189" s="0" t="n">
        <v>40.1563</v>
      </c>
      <c r="F189" s="0" t="n">
        <v>8159</v>
      </c>
    </row>
    <row r="191" customFormat="false" ht="14.65" hidden="false" customHeight="false" outlineLevel="0" collapsed="false">
      <c r="A191" s="0" t="s">
        <v>142</v>
      </c>
      <c r="B191" s="0" t="n">
        <v>8159</v>
      </c>
    </row>
    <row r="192" customFormat="false" ht="14.65" hidden="false" customHeight="false" outlineLevel="0" collapsed="false">
      <c r="A192" s="0" t="s">
        <v>58</v>
      </c>
      <c r="B192" s="0" t="s">
        <v>59</v>
      </c>
      <c r="C192" s="0" t="s">
        <v>60</v>
      </c>
      <c r="D192" s="0" t="s">
        <v>61</v>
      </c>
      <c r="E192" s="0" t="s">
        <v>62</v>
      </c>
      <c r="F192" s="0" t="s">
        <v>63</v>
      </c>
    </row>
    <row r="193" customFormat="false" ht="14.65" hidden="false" customHeight="false" outlineLevel="0" collapsed="false">
      <c r="A193" s="0" t="s">
        <v>167</v>
      </c>
      <c r="C193" s="0" t="s">
        <v>45</v>
      </c>
      <c r="F193" s="34" t="n">
        <v>34011</v>
      </c>
    </row>
    <row r="195" customFormat="false" ht="14.65" hidden="false" customHeight="false" outlineLevel="0" collapsed="false">
      <c r="A195" s="0" t="s">
        <v>134</v>
      </c>
      <c r="B195" s="0" t="s">
        <v>168</v>
      </c>
    </row>
    <row r="196" customFormat="false" ht="14.65" hidden="false" customHeight="false" outlineLevel="0" collapsed="false">
      <c r="A196" s="0" t="s">
        <v>136</v>
      </c>
      <c r="B196" s="0" t="s">
        <v>137</v>
      </c>
    </row>
    <row r="198" customFormat="false" ht="14.65" hidden="false" customHeight="false" outlineLevel="0" collapsed="false">
      <c r="A198" s="0" t="s">
        <v>138</v>
      </c>
      <c r="B198" s="0" t="s">
        <v>139</v>
      </c>
      <c r="D198" s="0" t="s">
        <v>6</v>
      </c>
      <c r="E198" s="0" t="s">
        <v>7</v>
      </c>
      <c r="F198" s="0" t="s">
        <v>9</v>
      </c>
    </row>
    <row r="200" customFormat="false" ht="14.65" hidden="false" customHeight="false" outlineLevel="0" collapsed="false">
      <c r="A200" s="0" t="s">
        <v>140</v>
      </c>
      <c r="B200" s="0" t="s">
        <v>141</v>
      </c>
      <c r="D200" s="0" t="n">
        <v>12.7154</v>
      </c>
      <c r="E200" s="0" t="n">
        <v>21.5041</v>
      </c>
      <c r="F200" s="0" t="n">
        <v>8159</v>
      </c>
    </row>
    <row r="202" customFormat="false" ht="14.65" hidden="false" customHeight="false" outlineLevel="0" collapsed="false">
      <c r="A202" s="0" t="s">
        <v>137</v>
      </c>
      <c r="B202" s="0" t="n">
        <v>1</v>
      </c>
      <c r="D202" s="0" t="n">
        <v>12.7154</v>
      </c>
      <c r="E202" s="0" t="n">
        <v>21.5041</v>
      </c>
      <c r="F202" s="0" t="n">
        <v>8159</v>
      </c>
    </row>
    <row r="204" customFormat="false" ht="14.65" hidden="false" customHeight="false" outlineLevel="0" collapsed="false">
      <c r="A204" s="0" t="s">
        <v>142</v>
      </c>
      <c r="B204" s="0" t="n">
        <v>8159</v>
      </c>
    </row>
    <row r="205" customFormat="false" ht="14.65" hidden="false" customHeight="false" outlineLevel="0" collapsed="false">
      <c r="A205" s="0" t="s">
        <v>58</v>
      </c>
      <c r="B205" s="0" t="s">
        <v>59</v>
      </c>
      <c r="C205" s="0" t="s">
        <v>60</v>
      </c>
      <c r="D205" s="0" t="s">
        <v>61</v>
      </c>
      <c r="E205" s="0" t="s">
        <v>62</v>
      </c>
      <c r="F205" s="0" t="s">
        <v>63</v>
      </c>
    </row>
    <row r="206" customFormat="false" ht="14.65" hidden="false" customHeight="false" outlineLevel="0" collapsed="false">
      <c r="A206" s="0" t="s">
        <v>169</v>
      </c>
      <c r="C206" s="0" t="s">
        <v>45</v>
      </c>
      <c r="F206" s="34" t="n">
        <v>34011</v>
      </c>
    </row>
    <row r="208" customFormat="false" ht="14.65" hidden="false" customHeight="false" outlineLevel="0" collapsed="false">
      <c r="A208" s="0" t="s">
        <v>134</v>
      </c>
      <c r="B208" s="0" t="s">
        <v>170</v>
      </c>
    </row>
    <row r="209" customFormat="false" ht="14.65" hidden="false" customHeight="false" outlineLevel="0" collapsed="false">
      <c r="A209" s="0" t="s">
        <v>136</v>
      </c>
      <c r="B209" s="0" t="s">
        <v>137</v>
      </c>
    </row>
    <row r="211" customFormat="false" ht="14.65" hidden="false" customHeight="false" outlineLevel="0" collapsed="false">
      <c r="A211" s="0" t="s">
        <v>138</v>
      </c>
      <c r="B211" s="0" t="s">
        <v>139</v>
      </c>
      <c r="D211" s="0" t="s">
        <v>6</v>
      </c>
      <c r="E211" s="0" t="s">
        <v>7</v>
      </c>
      <c r="F211" s="0" t="s">
        <v>9</v>
      </c>
    </row>
    <row r="213" customFormat="false" ht="14.65" hidden="false" customHeight="false" outlineLevel="0" collapsed="false">
      <c r="A213" s="0" t="s">
        <v>140</v>
      </c>
      <c r="B213" s="0" t="s">
        <v>141</v>
      </c>
      <c r="D213" s="0" t="n">
        <v>4.7786</v>
      </c>
      <c r="E213" s="0" t="n">
        <v>11.91</v>
      </c>
      <c r="F213" s="0" t="n">
        <v>8159</v>
      </c>
    </row>
    <row r="215" customFormat="false" ht="14.65" hidden="false" customHeight="false" outlineLevel="0" collapsed="false">
      <c r="A215" s="0" t="s">
        <v>137</v>
      </c>
      <c r="B215" s="0" t="n">
        <v>1</v>
      </c>
      <c r="D215" s="0" t="n">
        <v>4.7786</v>
      </c>
      <c r="E215" s="0" t="n">
        <v>11.91</v>
      </c>
      <c r="F215" s="0" t="n">
        <v>8159</v>
      </c>
    </row>
    <row r="217" customFormat="false" ht="14.65" hidden="false" customHeight="false" outlineLevel="0" collapsed="false">
      <c r="A217" s="0" t="s">
        <v>142</v>
      </c>
      <c r="B217" s="0" t="n">
        <v>8159</v>
      </c>
    </row>
    <row r="218" customFormat="false" ht="14.65" hidden="false" customHeight="false" outlineLevel="0" collapsed="false">
      <c r="A218" s="0" t="s">
        <v>58</v>
      </c>
      <c r="B218" s="0" t="s">
        <v>59</v>
      </c>
      <c r="C218" s="0" t="s">
        <v>60</v>
      </c>
      <c r="D218" s="0" t="s">
        <v>61</v>
      </c>
      <c r="E218" s="0" t="s">
        <v>62</v>
      </c>
      <c r="F218" s="0" t="s">
        <v>63</v>
      </c>
    </row>
    <row r="219" customFormat="false" ht="14.65" hidden="false" customHeight="false" outlineLevel="0" collapsed="false">
      <c r="A219" s="0" t="s">
        <v>171</v>
      </c>
      <c r="C219" s="0" t="s">
        <v>45</v>
      </c>
      <c r="F219" s="34" t="n">
        <v>34011</v>
      </c>
    </row>
    <row r="221" customFormat="false" ht="14.65" hidden="false" customHeight="false" outlineLevel="0" collapsed="false">
      <c r="A221" s="0" t="s">
        <v>134</v>
      </c>
      <c r="B221" s="0" t="s">
        <v>172</v>
      </c>
    </row>
    <row r="222" customFormat="false" ht="14.65" hidden="false" customHeight="false" outlineLevel="0" collapsed="false">
      <c r="A222" s="0" t="s">
        <v>136</v>
      </c>
      <c r="B222" s="0" t="s">
        <v>137</v>
      </c>
    </row>
    <row r="224" customFormat="false" ht="14.65" hidden="false" customHeight="false" outlineLevel="0" collapsed="false">
      <c r="A224" s="0" t="s">
        <v>138</v>
      </c>
      <c r="B224" s="0" t="s">
        <v>139</v>
      </c>
      <c r="D224" s="0" t="s">
        <v>6</v>
      </c>
      <c r="E224" s="0" t="s">
        <v>7</v>
      </c>
      <c r="F224" s="0" t="s">
        <v>9</v>
      </c>
    </row>
    <row r="226" customFormat="false" ht="14.65" hidden="false" customHeight="false" outlineLevel="0" collapsed="false">
      <c r="A226" s="0" t="s">
        <v>140</v>
      </c>
      <c r="B226" s="0" t="s">
        <v>141</v>
      </c>
      <c r="D226" s="0" t="n">
        <v>6.7794</v>
      </c>
      <c r="E226" s="0" t="n">
        <v>19.2772</v>
      </c>
      <c r="F226" s="0" t="n">
        <v>8159</v>
      </c>
    </row>
    <row r="228" customFormat="false" ht="14.65" hidden="false" customHeight="false" outlineLevel="0" collapsed="false">
      <c r="A228" s="0" t="s">
        <v>137</v>
      </c>
      <c r="B228" s="0" t="n">
        <v>1</v>
      </c>
      <c r="D228" s="0" t="n">
        <v>6.7794</v>
      </c>
      <c r="E228" s="0" t="n">
        <v>19.2772</v>
      </c>
      <c r="F228" s="0" t="n">
        <v>8159</v>
      </c>
    </row>
    <row r="230" customFormat="false" ht="14.65" hidden="false" customHeight="false" outlineLevel="0" collapsed="false">
      <c r="A230" s="0" t="s">
        <v>142</v>
      </c>
      <c r="B230" s="0" t="n">
        <v>8159</v>
      </c>
    </row>
    <row r="231" customFormat="false" ht="14.65" hidden="false" customHeight="false" outlineLevel="0" collapsed="false">
      <c r="A231" s="0" t="s">
        <v>58</v>
      </c>
      <c r="B231" s="0" t="s">
        <v>59</v>
      </c>
      <c r="C231" s="0" t="s">
        <v>60</v>
      </c>
      <c r="D231" s="0" t="s">
        <v>61</v>
      </c>
      <c r="E231" s="0" t="s">
        <v>62</v>
      </c>
      <c r="F231" s="0" t="s">
        <v>63</v>
      </c>
    </row>
    <row r="232" customFormat="false" ht="14.65" hidden="false" customHeight="false" outlineLevel="0" collapsed="false">
      <c r="A232" s="0" t="s">
        <v>173</v>
      </c>
      <c r="C232" s="0" t="s">
        <v>45</v>
      </c>
      <c r="F232" s="34" t="n">
        <v>34011</v>
      </c>
    </row>
    <row r="234" customFormat="false" ht="14.65" hidden="false" customHeight="false" outlineLevel="0" collapsed="false">
      <c r="A234" s="0" t="s">
        <v>134</v>
      </c>
      <c r="B234" s="0" t="s">
        <v>174</v>
      </c>
    </row>
    <row r="235" customFormat="false" ht="14.65" hidden="false" customHeight="false" outlineLevel="0" collapsed="false">
      <c r="A235" s="0" t="s">
        <v>136</v>
      </c>
      <c r="B235" s="0" t="s">
        <v>137</v>
      </c>
    </row>
    <row r="237" customFormat="false" ht="14.65" hidden="false" customHeight="false" outlineLevel="0" collapsed="false">
      <c r="A237" s="0" t="s">
        <v>138</v>
      </c>
      <c r="B237" s="0" t="s">
        <v>139</v>
      </c>
      <c r="D237" s="0" t="s">
        <v>6</v>
      </c>
      <c r="E237" s="0" t="s">
        <v>7</v>
      </c>
      <c r="F237" s="0" t="s">
        <v>9</v>
      </c>
    </row>
    <row r="239" customFormat="false" ht="14.65" hidden="false" customHeight="false" outlineLevel="0" collapsed="false">
      <c r="A239" s="0" t="s">
        <v>140</v>
      </c>
      <c r="B239" s="0" t="s">
        <v>141</v>
      </c>
      <c r="D239" s="0" t="n">
        <v>1.8698</v>
      </c>
      <c r="E239" s="0" t="n">
        <v>7.1684</v>
      </c>
      <c r="F239" s="0" t="n">
        <v>8159</v>
      </c>
    </row>
    <row r="241" customFormat="false" ht="14.65" hidden="false" customHeight="false" outlineLevel="0" collapsed="false">
      <c r="A241" s="0" t="s">
        <v>137</v>
      </c>
      <c r="B241" s="0" t="n">
        <v>1</v>
      </c>
      <c r="D241" s="0" t="n">
        <v>1.8698</v>
      </c>
      <c r="E241" s="0" t="n">
        <v>7.1684</v>
      </c>
      <c r="F241" s="0" t="n">
        <v>8159</v>
      </c>
    </row>
    <row r="243" customFormat="false" ht="14.65" hidden="false" customHeight="false" outlineLevel="0" collapsed="false">
      <c r="A243" s="0" t="s">
        <v>142</v>
      </c>
      <c r="B243" s="0" t="n">
        <v>8159</v>
      </c>
    </row>
    <row r="244" customFormat="false" ht="14.65" hidden="false" customHeight="false" outlineLevel="0" collapsed="false">
      <c r="A244" s="0" t="s">
        <v>58</v>
      </c>
      <c r="B244" s="0" t="s">
        <v>59</v>
      </c>
      <c r="C244" s="0" t="s">
        <v>60</v>
      </c>
      <c r="D244" s="0" t="s">
        <v>61</v>
      </c>
      <c r="E244" s="0" t="s">
        <v>62</v>
      </c>
      <c r="F244" s="0" t="s">
        <v>63</v>
      </c>
    </row>
    <row r="245" customFormat="false" ht="14.65" hidden="false" customHeight="false" outlineLevel="0" collapsed="false">
      <c r="A245" s="0" t="s">
        <v>175</v>
      </c>
      <c r="C245" s="0" t="s">
        <v>45</v>
      </c>
      <c r="F245" s="34" t="n">
        <v>34011</v>
      </c>
    </row>
    <row r="247" customFormat="false" ht="14.65" hidden="false" customHeight="false" outlineLevel="0" collapsed="false">
      <c r="A247" s="0" t="s">
        <v>134</v>
      </c>
      <c r="B247" s="0" t="s">
        <v>176</v>
      </c>
    </row>
    <row r="248" customFormat="false" ht="14.65" hidden="false" customHeight="false" outlineLevel="0" collapsed="false">
      <c r="A248" s="0" t="s">
        <v>136</v>
      </c>
      <c r="B248" s="0" t="s">
        <v>137</v>
      </c>
    </row>
    <row r="250" customFormat="false" ht="14.65" hidden="false" customHeight="false" outlineLevel="0" collapsed="false">
      <c r="A250" s="0" t="s">
        <v>138</v>
      </c>
      <c r="B250" s="0" t="s">
        <v>139</v>
      </c>
      <c r="D250" s="0" t="s">
        <v>6</v>
      </c>
      <c r="E250" s="0" t="s">
        <v>7</v>
      </c>
      <c r="F250" s="0" t="s">
        <v>9</v>
      </c>
    </row>
    <row r="252" customFormat="false" ht="14.65" hidden="false" customHeight="false" outlineLevel="0" collapsed="false">
      <c r="A252" s="0" t="s">
        <v>140</v>
      </c>
      <c r="B252" s="0" t="s">
        <v>141</v>
      </c>
      <c r="D252" s="0" t="n">
        <v>0.3902</v>
      </c>
      <c r="E252" s="0" t="n">
        <v>3.1939</v>
      </c>
      <c r="F252" s="0" t="n">
        <v>8159</v>
      </c>
    </row>
    <row r="254" customFormat="false" ht="14.65" hidden="false" customHeight="false" outlineLevel="0" collapsed="false">
      <c r="A254" s="0" t="s">
        <v>137</v>
      </c>
      <c r="B254" s="0" t="n">
        <v>1</v>
      </c>
      <c r="D254" s="0" t="n">
        <v>0.3902</v>
      </c>
      <c r="E254" s="0" t="n">
        <v>3.1939</v>
      </c>
      <c r="F254" s="0" t="n">
        <v>8159</v>
      </c>
    </row>
    <row r="256" customFormat="false" ht="14.65" hidden="false" customHeight="false" outlineLevel="0" collapsed="false">
      <c r="A256" s="0" t="s">
        <v>142</v>
      </c>
      <c r="B256" s="0" t="n">
        <v>8159</v>
      </c>
    </row>
    <row r="257" customFormat="false" ht="14.65" hidden="false" customHeight="false" outlineLevel="0" collapsed="false">
      <c r="A257" s="0" t="s">
        <v>58</v>
      </c>
      <c r="B257" s="0" t="s">
        <v>59</v>
      </c>
      <c r="C257" s="0" t="s">
        <v>60</v>
      </c>
      <c r="D257" s="0" t="s">
        <v>61</v>
      </c>
      <c r="E257" s="0" t="s">
        <v>62</v>
      </c>
      <c r="F257" s="0" t="s">
        <v>63</v>
      </c>
    </row>
    <row r="258" customFormat="false" ht="14.65" hidden="false" customHeight="false" outlineLevel="0" collapsed="false">
      <c r="A258" s="0" t="s">
        <v>177</v>
      </c>
      <c r="C258" s="0" t="s">
        <v>45</v>
      </c>
      <c r="F258" s="34" t="n">
        <v>34011</v>
      </c>
    </row>
    <row r="260" customFormat="false" ht="14.65" hidden="false" customHeight="false" outlineLevel="0" collapsed="false">
      <c r="A260" s="0" t="s">
        <v>134</v>
      </c>
      <c r="B260" s="0" t="s">
        <v>178</v>
      </c>
    </row>
    <row r="261" customFormat="false" ht="14.65" hidden="false" customHeight="false" outlineLevel="0" collapsed="false">
      <c r="A261" s="0" t="s">
        <v>136</v>
      </c>
      <c r="B261" s="0" t="s">
        <v>137</v>
      </c>
    </row>
    <row r="263" customFormat="false" ht="14.65" hidden="false" customHeight="false" outlineLevel="0" collapsed="false">
      <c r="A263" s="0" t="s">
        <v>138</v>
      </c>
      <c r="B263" s="0" t="s">
        <v>139</v>
      </c>
      <c r="D263" s="0" t="s">
        <v>6</v>
      </c>
      <c r="E263" s="0" t="s">
        <v>7</v>
      </c>
      <c r="F263" s="0" t="s">
        <v>9</v>
      </c>
    </row>
    <row r="265" customFormat="false" ht="14.65" hidden="false" customHeight="false" outlineLevel="0" collapsed="false">
      <c r="A265" s="0" t="s">
        <v>140</v>
      </c>
      <c r="B265" s="0" t="s">
        <v>141</v>
      </c>
      <c r="D265" s="0" t="n">
        <v>3.4851</v>
      </c>
      <c r="E265" s="0" t="n">
        <v>12.6211</v>
      </c>
      <c r="F265" s="0" t="n">
        <v>8159</v>
      </c>
    </row>
    <row r="267" customFormat="false" ht="14.65" hidden="false" customHeight="false" outlineLevel="0" collapsed="false">
      <c r="A267" s="0" t="s">
        <v>137</v>
      </c>
      <c r="B267" s="0" t="n">
        <v>1</v>
      </c>
      <c r="D267" s="0" t="n">
        <v>3.4851</v>
      </c>
      <c r="E267" s="0" t="n">
        <v>12.6211</v>
      </c>
      <c r="F267" s="0" t="n">
        <v>8159</v>
      </c>
    </row>
    <row r="269" customFormat="false" ht="14.65" hidden="false" customHeight="false" outlineLevel="0" collapsed="false">
      <c r="A269" s="0" t="s">
        <v>142</v>
      </c>
      <c r="B269" s="0" t="n">
        <v>8159</v>
      </c>
    </row>
    <row r="270" customFormat="false" ht="14.65" hidden="false" customHeight="false" outlineLevel="0" collapsed="false">
      <c r="A270" s="0" t="s">
        <v>58</v>
      </c>
      <c r="B270" s="0" t="s">
        <v>59</v>
      </c>
      <c r="C270" s="0" t="s">
        <v>60</v>
      </c>
      <c r="D270" s="0" t="s">
        <v>61</v>
      </c>
      <c r="E270" s="0" t="s">
        <v>62</v>
      </c>
      <c r="F270" s="0" t="s">
        <v>63</v>
      </c>
    </row>
    <row r="271" customFormat="false" ht="14.65" hidden="false" customHeight="false" outlineLevel="0" collapsed="false">
      <c r="A271" s="0" t="s">
        <v>179</v>
      </c>
      <c r="C271" s="0" t="s">
        <v>45</v>
      </c>
      <c r="F271" s="34" t="n">
        <v>34011</v>
      </c>
    </row>
    <row r="273" customFormat="false" ht="14.65" hidden="false" customHeight="false" outlineLevel="0" collapsed="false">
      <c r="A273" s="0" t="s">
        <v>134</v>
      </c>
      <c r="B273" s="0" t="s">
        <v>180</v>
      </c>
    </row>
    <row r="274" customFormat="false" ht="14.65" hidden="false" customHeight="false" outlineLevel="0" collapsed="false">
      <c r="A274" s="0" t="s">
        <v>136</v>
      </c>
      <c r="B274" s="0" t="s">
        <v>137</v>
      </c>
    </row>
    <row r="276" customFormat="false" ht="14.65" hidden="false" customHeight="false" outlineLevel="0" collapsed="false">
      <c r="A276" s="0" t="s">
        <v>138</v>
      </c>
      <c r="B276" s="0" t="s">
        <v>139</v>
      </c>
      <c r="D276" s="0" t="s">
        <v>6</v>
      </c>
      <c r="E276" s="0" t="s">
        <v>7</v>
      </c>
      <c r="F276" s="0" t="s">
        <v>9</v>
      </c>
    </row>
    <row r="278" customFormat="false" ht="14.65" hidden="false" customHeight="false" outlineLevel="0" collapsed="false">
      <c r="A278" s="0" t="s">
        <v>140</v>
      </c>
      <c r="B278" s="0" t="s">
        <v>141</v>
      </c>
      <c r="D278" s="0" t="n">
        <v>5.1218</v>
      </c>
      <c r="E278" s="0" t="n">
        <v>16.3974</v>
      </c>
      <c r="F278" s="0" t="n">
        <v>8159</v>
      </c>
    </row>
    <row r="280" customFormat="false" ht="14.65" hidden="false" customHeight="false" outlineLevel="0" collapsed="false">
      <c r="A280" s="0" t="s">
        <v>137</v>
      </c>
      <c r="B280" s="0" t="n">
        <v>1</v>
      </c>
      <c r="D280" s="0" t="n">
        <v>5.1218</v>
      </c>
      <c r="E280" s="0" t="n">
        <v>16.3974</v>
      </c>
      <c r="F280" s="0" t="n">
        <v>8159</v>
      </c>
    </row>
    <row r="282" customFormat="false" ht="14.65" hidden="false" customHeight="false" outlineLevel="0" collapsed="false">
      <c r="A282" s="0" t="s">
        <v>142</v>
      </c>
      <c r="B282" s="0" t="n">
        <v>8159</v>
      </c>
    </row>
    <row r="283" customFormat="false" ht="14.65" hidden="false" customHeight="false" outlineLevel="0" collapsed="false">
      <c r="A283" s="0" t="s">
        <v>58</v>
      </c>
      <c r="B283" s="0" t="s">
        <v>59</v>
      </c>
      <c r="C283" s="0" t="s">
        <v>60</v>
      </c>
      <c r="D283" s="0" t="s">
        <v>61</v>
      </c>
      <c r="E283" s="0" t="s">
        <v>62</v>
      </c>
      <c r="F283" s="0" t="s">
        <v>63</v>
      </c>
    </row>
    <row r="284" customFormat="false" ht="14.65" hidden="false" customHeight="false" outlineLevel="0" collapsed="false">
      <c r="A284" s="0" t="s">
        <v>181</v>
      </c>
      <c r="C284" s="0" t="s">
        <v>45</v>
      </c>
      <c r="F284" s="34" t="n">
        <v>34011</v>
      </c>
    </row>
    <row r="286" customFormat="false" ht="14.65" hidden="false" customHeight="false" outlineLevel="0" collapsed="false">
      <c r="A286" s="0" t="s">
        <v>134</v>
      </c>
      <c r="B286" s="0" t="s">
        <v>182</v>
      </c>
    </row>
    <row r="287" customFormat="false" ht="14.65" hidden="false" customHeight="false" outlineLevel="0" collapsed="false">
      <c r="A287" s="0" t="s">
        <v>136</v>
      </c>
      <c r="B287" s="0" t="s">
        <v>137</v>
      </c>
    </row>
    <row r="289" customFormat="false" ht="14.65" hidden="false" customHeight="false" outlineLevel="0" collapsed="false">
      <c r="A289" s="0" t="s">
        <v>138</v>
      </c>
      <c r="B289" s="0" t="s">
        <v>139</v>
      </c>
      <c r="D289" s="0" t="s">
        <v>6</v>
      </c>
      <c r="E289" s="0" t="s">
        <v>7</v>
      </c>
      <c r="F289" s="0" t="s">
        <v>9</v>
      </c>
    </row>
    <row r="291" customFormat="false" ht="14.65" hidden="false" customHeight="false" outlineLevel="0" collapsed="false">
      <c r="A291" s="0" t="s">
        <v>140</v>
      </c>
      <c r="B291" s="0" t="s">
        <v>141</v>
      </c>
      <c r="D291" s="0" t="n">
        <v>0.2196</v>
      </c>
      <c r="E291" s="0" t="n">
        <v>3.1862</v>
      </c>
      <c r="F291" s="0" t="n">
        <v>8159</v>
      </c>
    </row>
    <row r="293" customFormat="false" ht="14.65" hidden="false" customHeight="false" outlineLevel="0" collapsed="false">
      <c r="A293" s="0" t="s">
        <v>137</v>
      </c>
      <c r="B293" s="0" t="n">
        <v>1</v>
      </c>
      <c r="D293" s="0" t="n">
        <v>0.2196</v>
      </c>
      <c r="E293" s="0" t="n">
        <v>3.1862</v>
      </c>
      <c r="F293" s="0" t="n">
        <v>8159</v>
      </c>
    </row>
    <row r="295" customFormat="false" ht="14.65" hidden="false" customHeight="false" outlineLevel="0" collapsed="false">
      <c r="A295" s="0" t="s">
        <v>142</v>
      </c>
      <c r="B295" s="0" t="n">
        <v>8159</v>
      </c>
    </row>
    <row r="296" customFormat="false" ht="14.65" hidden="false" customHeight="false" outlineLevel="0" collapsed="false">
      <c r="A296" s="0" t="s">
        <v>58</v>
      </c>
      <c r="B296" s="0" t="s">
        <v>59</v>
      </c>
      <c r="C296" s="0" t="s">
        <v>60</v>
      </c>
      <c r="D296" s="0" t="s">
        <v>61</v>
      </c>
      <c r="E296" s="0" t="s">
        <v>62</v>
      </c>
      <c r="F296" s="0" t="s">
        <v>63</v>
      </c>
    </row>
    <row r="297" customFormat="false" ht="14.65" hidden="false" customHeight="false" outlineLevel="0" collapsed="false">
      <c r="A297" s="0" t="s">
        <v>183</v>
      </c>
      <c r="C297" s="0" t="s">
        <v>45</v>
      </c>
      <c r="F297" s="34" t="n">
        <v>34011</v>
      </c>
    </row>
    <row r="299" customFormat="false" ht="14.65" hidden="false" customHeight="false" outlineLevel="0" collapsed="false">
      <c r="A299" s="0" t="s">
        <v>65</v>
      </c>
      <c r="B299" s="0" t="s">
        <v>66</v>
      </c>
      <c r="C299" s="0" t="s">
        <v>184</v>
      </c>
    </row>
    <row r="300" customFormat="false" ht="14.65" hidden="false" customHeight="false" outlineLevel="0" collapsed="false">
      <c r="A300" s="0" t="s">
        <v>185</v>
      </c>
      <c r="B300" s="0" t="s">
        <v>186</v>
      </c>
      <c r="C300" s="0" t="s">
        <v>187</v>
      </c>
      <c r="D300" s="0" t="s">
        <v>188</v>
      </c>
      <c r="E300" s="0" t="s">
        <v>164</v>
      </c>
    </row>
    <row r="302" customFormat="false" ht="14.65" hidden="false" customHeight="false" outlineLevel="0" collapsed="false">
      <c r="A302" s="0" t="s">
        <v>127</v>
      </c>
      <c r="B302" s="0" t="s">
        <v>128</v>
      </c>
      <c r="C302" s="0" t="s">
        <v>129</v>
      </c>
      <c r="D302" s="0" t="s">
        <v>130</v>
      </c>
      <c r="E302" s="0" t="s">
        <v>131</v>
      </c>
      <c r="F302" s="0" t="s">
        <v>132</v>
      </c>
    </row>
    <row r="305" customFormat="false" ht="14.65" hidden="false" customHeight="false" outlineLevel="0" collapsed="false">
      <c r="A305" s="0" t="s">
        <v>58</v>
      </c>
      <c r="B305" s="0" t="s">
        <v>59</v>
      </c>
      <c r="C305" s="0" t="s">
        <v>60</v>
      </c>
      <c r="D305" s="0" t="s">
        <v>61</v>
      </c>
      <c r="E305" s="0" t="s">
        <v>62</v>
      </c>
      <c r="F305" s="0" t="s">
        <v>63</v>
      </c>
    </row>
    <row r="306" customFormat="false" ht="14.65" hidden="false" customHeight="false" outlineLevel="0" collapsed="false">
      <c r="A306" s="0" t="s">
        <v>189</v>
      </c>
      <c r="C306" s="0" t="s">
        <v>45</v>
      </c>
      <c r="F306" s="34" t="n">
        <v>34011</v>
      </c>
    </row>
    <row r="308" customFormat="false" ht="14.65" hidden="false" customHeight="false" outlineLevel="0" collapsed="false">
      <c r="A308" s="0" t="s">
        <v>134</v>
      </c>
      <c r="B308" s="0" t="s">
        <v>190</v>
      </c>
    </row>
    <row r="309" customFormat="false" ht="14.65" hidden="false" customHeight="false" outlineLevel="0" collapsed="false">
      <c r="A309" s="0" t="s">
        <v>136</v>
      </c>
      <c r="B309" s="0" t="s">
        <v>137</v>
      </c>
    </row>
    <row r="311" customFormat="false" ht="14.65" hidden="false" customHeight="false" outlineLevel="0" collapsed="false">
      <c r="A311" s="0" t="s">
        <v>138</v>
      </c>
      <c r="B311" s="0" t="s">
        <v>139</v>
      </c>
      <c r="D311" s="0" t="s">
        <v>6</v>
      </c>
      <c r="E311" s="0" t="s">
        <v>7</v>
      </c>
      <c r="F311" s="0" t="s">
        <v>9</v>
      </c>
    </row>
    <row r="313" customFormat="false" ht="14.65" hidden="false" customHeight="false" outlineLevel="0" collapsed="false">
      <c r="A313" s="0" t="s">
        <v>140</v>
      </c>
      <c r="B313" s="0" t="s">
        <v>141</v>
      </c>
      <c r="D313" s="0" t="n">
        <v>1.417</v>
      </c>
      <c r="E313" s="0" t="n">
        <v>0.69</v>
      </c>
      <c r="F313" s="0" t="n">
        <v>8159</v>
      </c>
    </row>
    <row r="315" customFormat="false" ht="14.65" hidden="false" customHeight="false" outlineLevel="0" collapsed="false">
      <c r="A315" s="0" t="s">
        <v>137</v>
      </c>
      <c r="B315" s="0" t="n">
        <v>1</v>
      </c>
      <c r="D315" s="0" t="n">
        <v>1.417</v>
      </c>
      <c r="E315" s="0" t="n">
        <v>0.69</v>
      </c>
      <c r="F315" s="0" t="n">
        <v>8159</v>
      </c>
    </row>
    <row r="317" customFormat="false" ht="14.65" hidden="false" customHeight="false" outlineLevel="0" collapsed="false">
      <c r="A317" s="0" t="s">
        <v>142</v>
      </c>
      <c r="B317" s="0" t="n">
        <v>8159</v>
      </c>
    </row>
    <row r="318" customFormat="false" ht="14.65" hidden="false" customHeight="false" outlineLevel="0" collapsed="false">
      <c r="A318" s="0" t="s">
        <v>58</v>
      </c>
      <c r="B318" s="0" t="s">
        <v>59</v>
      </c>
      <c r="C318" s="0" t="s">
        <v>60</v>
      </c>
      <c r="D318" s="0" t="s">
        <v>61</v>
      </c>
      <c r="E318" s="0" t="s">
        <v>62</v>
      </c>
      <c r="F318" s="0" t="s">
        <v>63</v>
      </c>
    </row>
    <row r="319" customFormat="false" ht="14.65" hidden="false" customHeight="false" outlineLevel="0" collapsed="false">
      <c r="A319" s="0" t="s">
        <v>191</v>
      </c>
      <c r="C319" s="0" t="s">
        <v>45</v>
      </c>
      <c r="F319" s="34" t="n">
        <v>34011</v>
      </c>
    </row>
    <row r="321" customFormat="false" ht="14.65" hidden="false" customHeight="false" outlineLevel="0" collapsed="false">
      <c r="A321" s="0" t="s">
        <v>134</v>
      </c>
      <c r="B321" s="0" t="s">
        <v>192</v>
      </c>
    </row>
    <row r="322" customFormat="false" ht="14.65" hidden="false" customHeight="false" outlineLevel="0" collapsed="false">
      <c r="A322" s="0" t="s">
        <v>136</v>
      </c>
      <c r="B322" s="0" t="s">
        <v>137</v>
      </c>
    </row>
    <row r="324" customFormat="false" ht="14.65" hidden="false" customHeight="false" outlineLevel="0" collapsed="false">
      <c r="A324" s="0" t="s">
        <v>138</v>
      </c>
      <c r="B324" s="0" t="s">
        <v>139</v>
      </c>
      <c r="D324" s="0" t="s">
        <v>6</v>
      </c>
      <c r="E324" s="0" t="s">
        <v>7</v>
      </c>
      <c r="F324" s="0" t="s">
        <v>9</v>
      </c>
    </row>
    <row r="326" customFormat="false" ht="14.65" hidden="false" customHeight="false" outlineLevel="0" collapsed="false">
      <c r="A326" s="0" t="s">
        <v>140</v>
      </c>
      <c r="B326" s="0" t="s">
        <v>141</v>
      </c>
      <c r="D326" s="0" t="n">
        <v>0.5973</v>
      </c>
      <c r="E326" s="0" t="n">
        <v>0.6636</v>
      </c>
      <c r="F326" s="0" t="n">
        <v>8159</v>
      </c>
    </row>
    <row r="328" customFormat="false" ht="14.65" hidden="false" customHeight="false" outlineLevel="0" collapsed="false">
      <c r="A328" s="0" t="s">
        <v>137</v>
      </c>
      <c r="B328" s="0" t="n">
        <v>1</v>
      </c>
      <c r="D328" s="0" t="n">
        <v>0.5973</v>
      </c>
      <c r="E328" s="0" t="n">
        <v>0.6636</v>
      </c>
      <c r="F328" s="0" t="n">
        <v>8159</v>
      </c>
    </row>
    <row r="330" customFormat="false" ht="14.65" hidden="false" customHeight="false" outlineLevel="0" collapsed="false">
      <c r="A330" s="0" t="s">
        <v>142</v>
      </c>
      <c r="B330" s="0" t="n">
        <v>8159</v>
      </c>
    </row>
    <row r="331" customFormat="false" ht="14.65" hidden="false" customHeight="false" outlineLevel="0" collapsed="false">
      <c r="A331" s="0" t="s">
        <v>58</v>
      </c>
      <c r="B331" s="0" t="s">
        <v>59</v>
      </c>
      <c r="C331" s="0" t="s">
        <v>60</v>
      </c>
      <c r="D331" s="0" t="s">
        <v>61</v>
      </c>
      <c r="E331" s="0" t="s">
        <v>62</v>
      </c>
      <c r="F331" s="0" t="s">
        <v>63</v>
      </c>
    </row>
    <row r="332" customFormat="false" ht="14.65" hidden="false" customHeight="false" outlineLevel="0" collapsed="false">
      <c r="A332" s="0" t="s">
        <v>193</v>
      </c>
      <c r="C332" s="0" t="s">
        <v>45</v>
      </c>
      <c r="F332" s="34" t="n">
        <v>34011</v>
      </c>
    </row>
    <row r="334" customFormat="false" ht="14.65" hidden="false" customHeight="false" outlineLevel="0" collapsed="false">
      <c r="A334" s="0" t="s">
        <v>134</v>
      </c>
      <c r="B334" s="0" t="s">
        <v>194</v>
      </c>
    </row>
    <row r="335" customFormat="false" ht="14.65" hidden="false" customHeight="false" outlineLevel="0" collapsed="false">
      <c r="A335" s="0" t="s">
        <v>136</v>
      </c>
      <c r="B335" s="0" t="s">
        <v>137</v>
      </c>
    </row>
    <row r="337" customFormat="false" ht="14.65" hidden="false" customHeight="false" outlineLevel="0" collapsed="false">
      <c r="A337" s="0" t="s">
        <v>138</v>
      </c>
      <c r="B337" s="0" t="s">
        <v>139</v>
      </c>
      <c r="D337" s="0" t="s">
        <v>6</v>
      </c>
      <c r="E337" s="0" t="s">
        <v>7</v>
      </c>
      <c r="F337" s="0" t="s">
        <v>9</v>
      </c>
    </row>
    <row r="339" customFormat="false" ht="14.65" hidden="false" customHeight="false" outlineLevel="0" collapsed="false">
      <c r="A339" s="0" t="s">
        <v>140</v>
      </c>
      <c r="B339" s="0" t="s">
        <v>141</v>
      </c>
      <c r="D339" s="0" t="n">
        <v>0.4138</v>
      </c>
      <c r="E339" s="0" t="n">
        <v>0.7015</v>
      </c>
      <c r="F339" s="0" t="n">
        <v>8159</v>
      </c>
    </row>
    <row r="341" customFormat="false" ht="14.65" hidden="false" customHeight="false" outlineLevel="0" collapsed="false">
      <c r="A341" s="0" t="s">
        <v>137</v>
      </c>
      <c r="B341" s="0" t="n">
        <v>1</v>
      </c>
      <c r="D341" s="0" t="n">
        <v>0.4138</v>
      </c>
      <c r="E341" s="0" t="n">
        <v>0.7015</v>
      </c>
      <c r="F341" s="0" t="n">
        <v>8159</v>
      </c>
    </row>
    <row r="343" customFormat="false" ht="14.65" hidden="false" customHeight="false" outlineLevel="0" collapsed="false">
      <c r="A343" s="0" t="s">
        <v>142</v>
      </c>
      <c r="B343" s="0" t="n">
        <v>8159</v>
      </c>
    </row>
    <row r="344" customFormat="false" ht="14.65" hidden="false" customHeight="false" outlineLevel="0" collapsed="false">
      <c r="A344" s="0" t="s">
        <v>58</v>
      </c>
      <c r="B344" s="0" t="s">
        <v>59</v>
      </c>
      <c r="C344" s="0" t="s">
        <v>60</v>
      </c>
      <c r="D344" s="0" t="s">
        <v>61</v>
      </c>
      <c r="E344" s="0" t="s">
        <v>62</v>
      </c>
      <c r="F344" s="0" t="s">
        <v>63</v>
      </c>
    </row>
    <row r="345" customFormat="false" ht="14.65" hidden="false" customHeight="false" outlineLevel="0" collapsed="false">
      <c r="A345" s="0" t="s">
        <v>195</v>
      </c>
      <c r="C345" s="0" t="s">
        <v>45</v>
      </c>
      <c r="F345" s="34" t="n">
        <v>34011</v>
      </c>
    </row>
    <row r="347" customFormat="false" ht="14.65" hidden="false" customHeight="false" outlineLevel="0" collapsed="false">
      <c r="A347" s="0" t="s">
        <v>134</v>
      </c>
      <c r="B347" s="0" t="s">
        <v>196</v>
      </c>
    </row>
    <row r="348" customFormat="false" ht="14.65" hidden="false" customHeight="false" outlineLevel="0" collapsed="false">
      <c r="A348" s="0" t="s">
        <v>136</v>
      </c>
      <c r="B348" s="0" t="s">
        <v>137</v>
      </c>
    </row>
    <row r="350" customFormat="false" ht="14.65" hidden="false" customHeight="false" outlineLevel="0" collapsed="false">
      <c r="A350" s="0" t="s">
        <v>138</v>
      </c>
      <c r="B350" s="0" t="s">
        <v>139</v>
      </c>
      <c r="D350" s="0" t="s">
        <v>6</v>
      </c>
      <c r="E350" s="0" t="s">
        <v>7</v>
      </c>
      <c r="F350" s="0" t="s">
        <v>9</v>
      </c>
    </row>
    <row r="352" customFormat="false" ht="14.65" hidden="false" customHeight="false" outlineLevel="0" collapsed="false">
      <c r="A352" s="0" t="s">
        <v>140</v>
      </c>
      <c r="B352" s="0" t="s">
        <v>141</v>
      </c>
      <c r="D352" s="0" t="n">
        <v>0.4661</v>
      </c>
      <c r="E352" s="0" t="n">
        <v>0.9412</v>
      </c>
      <c r="F352" s="0" t="n">
        <v>8159</v>
      </c>
    </row>
    <row r="354" customFormat="false" ht="14.65" hidden="false" customHeight="false" outlineLevel="0" collapsed="false">
      <c r="A354" s="0" t="s">
        <v>137</v>
      </c>
      <c r="B354" s="0" t="n">
        <v>1</v>
      </c>
      <c r="D354" s="0" t="n">
        <v>0.4661</v>
      </c>
      <c r="E354" s="0" t="n">
        <v>0.9412</v>
      </c>
      <c r="F354" s="0" t="n">
        <v>8159</v>
      </c>
    </row>
    <row r="356" customFormat="false" ht="14.65" hidden="false" customHeight="false" outlineLevel="0" collapsed="false">
      <c r="A356" s="0" t="s">
        <v>142</v>
      </c>
      <c r="B356" s="0" t="n">
        <v>8159</v>
      </c>
    </row>
    <row r="357" customFormat="false" ht="14.65" hidden="false" customHeight="false" outlineLevel="0" collapsed="false">
      <c r="A357" s="0" t="s">
        <v>58</v>
      </c>
      <c r="B357" s="0" t="s">
        <v>59</v>
      </c>
      <c r="C357" s="0" t="s">
        <v>60</v>
      </c>
      <c r="D357" s="0" t="s">
        <v>61</v>
      </c>
      <c r="E357" s="0" t="s">
        <v>62</v>
      </c>
      <c r="F357" s="0" t="s">
        <v>63</v>
      </c>
    </row>
    <row r="358" customFormat="false" ht="14.65" hidden="false" customHeight="false" outlineLevel="0" collapsed="false">
      <c r="A358" s="0" t="s">
        <v>197</v>
      </c>
      <c r="C358" s="0" t="s">
        <v>45</v>
      </c>
      <c r="F358" s="34" t="n">
        <v>34011</v>
      </c>
    </row>
    <row r="360" customFormat="false" ht="14.65" hidden="false" customHeight="false" outlineLevel="0" collapsed="false">
      <c r="A360" s="0" t="s">
        <v>134</v>
      </c>
      <c r="B360" s="0" t="s">
        <v>198</v>
      </c>
    </row>
    <row r="361" customFormat="false" ht="14.65" hidden="false" customHeight="false" outlineLevel="0" collapsed="false">
      <c r="A361" s="0" t="s">
        <v>136</v>
      </c>
      <c r="B361" s="0" t="s">
        <v>137</v>
      </c>
    </row>
    <row r="363" customFormat="false" ht="14.65" hidden="false" customHeight="false" outlineLevel="0" collapsed="false">
      <c r="A363" s="0" t="s">
        <v>138</v>
      </c>
      <c r="B363" s="0" t="s">
        <v>139</v>
      </c>
      <c r="D363" s="0" t="s">
        <v>6</v>
      </c>
      <c r="E363" s="0" t="s">
        <v>7</v>
      </c>
      <c r="F363" s="0" t="s">
        <v>9</v>
      </c>
    </row>
    <row r="365" customFormat="false" ht="14.65" hidden="false" customHeight="false" outlineLevel="0" collapsed="false">
      <c r="A365" s="0" t="s">
        <v>140</v>
      </c>
      <c r="B365" s="0" t="s">
        <v>141</v>
      </c>
      <c r="D365" s="0" t="n">
        <v>0.1223</v>
      </c>
      <c r="E365" s="0" t="n">
        <v>0.387</v>
      </c>
      <c r="F365" s="0" t="n">
        <v>8159</v>
      </c>
    </row>
    <row r="367" customFormat="false" ht="14.65" hidden="false" customHeight="false" outlineLevel="0" collapsed="false">
      <c r="A367" s="0" t="s">
        <v>137</v>
      </c>
      <c r="B367" s="0" t="n">
        <v>1</v>
      </c>
      <c r="D367" s="0" t="n">
        <v>0.1223</v>
      </c>
      <c r="E367" s="0" t="n">
        <v>0.387</v>
      </c>
      <c r="F367" s="0" t="n">
        <v>8159</v>
      </c>
    </row>
    <row r="369" customFormat="false" ht="14.65" hidden="false" customHeight="false" outlineLevel="0" collapsed="false">
      <c r="A369" s="0" t="s">
        <v>142</v>
      </c>
      <c r="B369" s="0" t="n">
        <v>8159</v>
      </c>
    </row>
    <row r="370" customFormat="false" ht="14.65" hidden="false" customHeight="false" outlineLevel="0" collapsed="false">
      <c r="A370" s="0" t="s">
        <v>58</v>
      </c>
      <c r="B370" s="0" t="s">
        <v>59</v>
      </c>
      <c r="C370" s="0" t="s">
        <v>60</v>
      </c>
      <c r="D370" s="0" t="s">
        <v>61</v>
      </c>
      <c r="E370" s="0" t="s">
        <v>62</v>
      </c>
      <c r="F370" s="0" t="s">
        <v>63</v>
      </c>
    </row>
    <row r="371" customFormat="false" ht="14.65" hidden="false" customHeight="false" outlineLevel="0" collapsed="false">
      <c r="A371" s="0" t="s">
        <v>199</v>
      </c>
      <c r="C371" s="0" t="s">
        <v>45</v>
      </c>
      <c r="F371" s="34" t="n">
        <v>34011</v>
      </c>
    </row>
    <row r="373" customFormat="false" ht="14.65" hidden="false" customHeight="false" outlineLevel="0" collapsed="false">
      <c r="A373" s="0" t="s">
        <v>134</v>
      </c>
      <c r="B373" s="0" t="s">
        <v>200</v>
      </c>
    </row>
    <row r="374" customFormat="false" ht="14.65" hidden="false" customHeight="false" outlineLevel="0" collapsed="false">
      <c r="A374" s="0" t="s">
        <v>136</v>
      </c>
      <c r="B374" s="0" t="s">
        <v>137</v>
      </c>
    </row>
    <row r="376" customFormat="false" ht="14.65" hidden="false" customHeight="false" outlineLevel="0" collapsed="false">
      <c r="A376" s="0" t="s">
        <v>138</v>
      </c>
      <c r="B376" s="0" t="s">
        <v>139</v>
      </c>
      <c r="D376" s="0" t="s">
        <v>6</v>
      </c>
      <c r="E376" s="0" t="s">
        <v>7</v>
      </c>
      <c r="F376" s="0" t="s">
        <v>9</v>
      </c>
    </row>
    <row r="378" customFormat="false" ht="14.65" hidden="false" customHeight="false" outlineLevel="0" collapsed="false">
      <c r="A378" s="0" t="s">
        <v>140</v>
      </c>
      <c r="B378" s="0" t="s">
        <v>141</v>
      </c>
      <c r="D378" s="0" t="n">
        <v>0.0219</v>
      </c>
      <c r="E378" s="0" t="n">
        <v>0.1562</v>
      </c>
      <c r="F378" s="0" t="n">
        <v>8159</v>
      </c>
    </row>
    <row r="380" customFormat="false" ht="14.65" hidden="false" customHeight="false" outlineLevel="0" collapsed="false">
      <c r="A380" s="0" t="s">
        <v>137</v>
      </c>
      <c r="B380" s="0" t="n">
        <v>1</v>
      </c>
      <c r="D380" s="0" t="n">
        <v>0.0219</v>
      </c>
      <c r="E380" s="0" t="n">
        <v>0.1562</v>
      </c>
      <c r="F380" s="0" t="n">
        <v>8159</v>
      </c>
    </row>
    <row r="382" customFormat="false" ht="14.65" hidden="false" customHeight="false" outlineLevel="0" collapsed="false">
      <c r="A382" s="0" t="s">
        <v>142</v>
      </c>
      <c r="B382" s="0" t="n">
        <v>8159</v>
      </c>
    </row>
    <row r="383" customFormat="false" ht="14.65" hidden="false" customHeight="false" outlineLevel="0" collapsed="false">
      <c r="A383" s="0" t="s">
        <v>58</v>
      </c>
      <c r="B383" s="0" t="s">
        <v>59</v>
      </c>
      <c r="C383" s="0" t="s">
        <v>60</v>
      </c>
      <c r="D383" s="0" t="s">
        <v>61</v>
      </c>
      <c r="E383" s="0" t="s">
        <v>62</v>
      </c>
      <c r="F383" s="0" t="s">
        <v>63</v>
      </c>
    </row>
    <row r="384" customFormat="false" ht="14.65" hidden="false" customHeight="false" outlineLevel="0" collapsed="false">
      <c r="A384" s="0" t="s">
        <v>201</v>
      </c>
      <c r="C384" s="0" t="s">
        <v>45</v>
      </c>
      <c r="F384" s="34" t="n">
        <v>34011</v>
      </c>
    </row>
    <row r="386" customFormat="false" ht="14.65" hidden="false" customHeight="false" outlineLevel="0" collapsed="false">
      <c r="A386" s="0" t="s">
        <v>134</v>
      </c>
      <c r="B386" s="0" t="s">
        <v>202</v>
      </c>
    </row>
    <row r="387" customFormat="false" ht="14.65" hidden="false" customHeight="false" outlineLevel="0" collapsed="false">
      <c r="A387" s="0" t="s">
        <v>136</v>
      </c>
      <c r="B387" s="0" t="s">
        <v>137</v>
      </c>
    </row>
    <row r="389" customFormat="false" ht="14.65" hidden="false" customHeight="false" outlineLevel="0" collapsed="false">
      <c r="A389" s="0" t="s">
        <v>138</v>
      </c>
      <c r="B389" s="0" t="s">
        <v>139</v>
      </c>
      <c r="D389" s="0" t="s">
        <v>6</v>
      </c>
      <c r="E389" s="0" t="s">
        <v>7</v>
      </c>
      <c r="F389" s="0" t="s">
        <v>9</v>
      </c>
    </row>
    <row r="391" customFormat="false" ht="14.65" hidden="false" customHeight="false" outlineLevel="0" collapsed="false">
      <c r="A391" s="0" t="s">
        <v>140</v>
      </c>
      <c r="B391" s="0" t="s">
        <v>141</v>
      </c>
      <c r="D391" s="0" t="n">
        <v>0.189</v>
      </c>
      <c r="E391" s="0" t="n">
        <v>0.5069</v>
      </c>
      <c r="F391" s="0" t="n">
        <v>8159</v>
      </c>
    </row>
    <row r="393" customFormat="false" ht="14.65" hidden="false" customHeight="false" outlineLevel="0" collapsed="false">
      <c r="A393" s="0" t="s">
        <v>137</v>
      </c>
      <c r="B393" s="0" t="n">
        <v>1</v>
      </c>
      <c r="D393" s="0" t="n">
        <v>0.189</v>
      </c>
      <c r="E393" s="0" t="n">
        <v>0.5069</v>
      </c>
      <c r="F393" s="0" t="n">
        <v>8159</v>
      </c>
    </row>
    <row r="395" customFormat="false" ht="14.65" hidden="false" customHeight="false" outlineLevel="0" collapsed="false">
      <c r="A395" s="0" t="s">
        <v>142</v>
      </c>
      <c r="B395" s="0" t="n">
        <v>8159</v>
      </c>
    </row>
    <row r="396" customFormat="false" ht="14.65" hidden="false" customHeight="false" outlineLevel="0" collapsed="false">
      <c r="A396" s="0" t="s">
        <v>58</v>
      </c>
      <c r="B396" s="0" t="s">
        <v>59</v>
      </c>
      <c r="C396" s="0" t="s">
        <v>60</v>
      </c>
      <c r="D396" s="0" t="s">
        <v>61</v>
      </c>
      <c r="E396" s="0" t="s">
        <v>62</v>
      </c>
      <c r="F396" s="0" t="s">
        <v>63</v>
      </c>
    </row>
    <row r="397" customFormat="false" ht="14.65" hidden="false" customHeight="false" outlineLevel="0" collapsed="false">
      <c r="A397" s="0" t="s">
        <v>203</v>
      </c>
      <c r="C397" s="0" t="s">
        <v>45</v>
      </c>
      <c r="F397" s="34" t="n">
        <v>34011</v>
      </c>
    </row>
    <row r="399" customFormat="false" ht="14.65" hidden="false" customHeight="false" outlineLevel="0" collapsed="false">
      <c r="A399" s="0" t="s">
        <v>134</v>
      </c>
      <c r="B399" s="0" t="s">
        <v>204</v>
      </c>
    </row>
    <row r="400" customFormat="false" ht="14.65" hidden="false" customHeight="false" outlineLevel="0" collapsed="false">
      <c r="A400" s="0" t="s">
        <v>136</v>
      </c>
      <c r="B400" s="0" t="s">
        <v>137</v>
      </c>
    </row>
    <row r="402" customFormat="false" ht="14.65" hidden="false" customHeight="false" outlineLevel="0" collapsed="false">
      <c r="A402" s="0" t="s">
        <v>138</v>
      </c>
      <c r="B402" s="0" t="s">
        <v>139</v>
      </c>
      <c r="D402" s="0" t="s">
        <v>6</v>
      </c>
      <c r="E402" s="0" t="s">
        <v>7</v>
      </c>
      <c r="F402" s="0" t="s">
        <v>9</v>
      </c>
    </row>
    <row r="404" customFormat="false" ht="14.65" hidden="false" customHeight="false" outlineLevel="0" collapsed="false">
      <c r="A404" s="0" t="s">
        <v>140</v>
      </c>
      <c r="B404" s="0" t="s">
        <v>141</v>
      </c>
      <c r="D404" s="0" t="n">
        <v>0.2798</v>
      </c>
      <c r="E404" s="0" t="n">
        <v>0.6095</v>
      </c>
      <c r="F404" s="0" t="n">
        <v>8159</v>
      </c>
    </row>
    <row r="406" customFormat="false" ht="14.65" hidden="false" customHeight="false" outlineLevel="0" collapsed="false">
      <c r="A406" s="0" t="s">
        <v>137</v>
      </c>
      <c r="B406" s="0" t="n">
        <v>1</v>
      </c>
      <c r="D406" s="0" t="n">
        <v>0.2798</v>
      </c>
      <c r="E406" s="0" t="n">
        <v>0.6095</v>
      </c>
      <c r="F406" s="0" t="n">
        <v>8159</v>
      </c>
    </row>
    <row r="408" customFormat="false" ht="14.65" hidden="false" customHeight="false" outlineLevel="0" collapsed="false">
      <c r="A408" s="0" t="s">
        <v>142</v>
      </c>
      <c r="B408" s="0" t="n">
        <v>8159</v>
      </c>
    </row>
    <row r="409" customFormat="false" ht="14.65" hidden="false" customHeight="false" outlineLevel="0" collapsed="false">
      <c r="A409" s="0" t="s">
        <v>58</v>
      </c>
      <c r="B409" s="0" t="s">
        <v>59</v>
      </c>
      <c r="C409" s="0" t="s">
        <v>60</v>
      </c>
      <c r="D409" s="0" t="s">
        <v>61</v>
      </c>
      <c r="E409" s="0" t="s">
        <v>62</v>
      </c>
      <c r="F409" s="0" t="s">
        <v>63</v>
      </c>
    </row>
    <row r="410" customFormat="false" ht="14.65" hidden="false" customHeight="false" outlineLevel="0" collapsed="false">
      <c r="A410" s="0" t="s">
        <v>205</v>
      </c>
      <c r="C410" s="0" t="s">
        <v>45</v>
      </c>
      <c r="F410" s="34" t="n">
        <v>34011</v>
      </c>
    </row>
    <row r="412" customFormat="false" ht="14.65" hidden="false" customHeight="false" outlineLevel="0" collapsed="false">
      <c r="A412" s="0" t="s">
        <v>134</v>
      </c>
      <c r="B412" s="0" t="s">
        <v>206</v>
      </c>
    </row>
    <row r="413" customFormat="false" ht="14.65" hidden="false" customHeight="false" outlineLevel="0" collapsed="false">
      <c r="A413" s="0" t="s">
        <v>136</v>
      </c>
      <c r="B413" s="0" t="s">
        <v>137</v>
      </c>
    </row>
    <row r="415" customFormat="false" ht="14.65" hidden="false" customHeight="false" outlineLevel="0" collapsed="false">
      <c r="A415" s="0" t="s">
        <v>138</v>
      </c>
      <c r="B415" s="0" t="s">
        <v>139</v>
      </c>
      <c r="D415" s="0" t="s">
        <v>6</v>
      </c>
      <c r="E415" s="0" t="s">
        <v>7</v>
      </c>
      <c r="F415" s="0" t="s">
        <v>9</v>
      </c>
    </row>
    <row r="417" customFormat="false" ht="14.65" hidden="false" customHeight="false" outlineLevel="0" collapsed="false">
      <c r="A417" s="0" t="s">
        <v>140</v>
      </c>
      <c r="B417" s="0" t="s">
        <v>141</v>
      </c>
      <c r="D417" s="0" t="n">
        <v>0.0118</v>
      </c>
      <c r="E417" s="0" t="n">
        <v>0.1456</v>
      </c>
      <c r="F417" s="0" t="n">
        <v>8159</v>
      </c>
    </row>
    <row r="419" customFormat="false" ht="14.65" hidden="false" customHeight="false" outlineLevel="0" collapsed="false">
      <c r="A419" s="0" t="s">
        <v>137</v>
      </c>
      <c r="B419" s="0" t="n">
        <v>1</v>
      </c>
      <c r="D419" s="0" t="n">
        <v>0.0118</v>
      </c>
      <c r="E419" s="0" t="n">
        <v>0.1456</v>
      </c>
      <c r="F419" s="0" t="n">
        <v>8159</v>
      </c>
    </row>
    <row r="421" customFormat="false" ht="14.65" hidden="false" customHeight="false" outlineLevel="0" collapsed="false">
      <c r="A421" s="0" t="s">
        <v>142</v>
      </c>
      <c r="B421" s="0" t="n">
        <v>8159</v>
      </c>
    </row>
    <row r="422" customFormat="false" ht="14.65" hidden="false" customHeight="false" outlineLevel="0" collapsed="false">
      <c r="A422" s="0" t="s">
        <v>58</v>
      </c>
      <c r="B422" s="0" t="s">
        <v>59</v>
      </c>
      <c r="C422" s="0" t="s">
        <v>60</v>
      </c>
      <c r="D422" s="0" t="s">
        <v>61</v>
      </c>
      <c r="E422" s="0" t="s">
        <v>62</v>
      </c>
      <c r="F422" s="0" t="s">
        <v>63</v>
      </c>
    </row>
    <row r="423" customFormat="false" ht="14.65" hidden="false" customHeight="false" outlineLevel="0" collapsed="false">
      <c r="A423" s="0" t="s">
        <v>207</v>
      </c>
      <c r="C423" s="0" t="s">
        <v>45</v>
      </c>
      <c r="F423" s="34" t="n">
        <v>34011</v>
      </c>
    </row>
    <row r="425" customFormat="false" ht="14.65" hidden="false" customHeight="false" outlineLevel="0" collapsed="false">
      <c r="A425" s="0" t="s">
        <v>65</v>
      </c>
      <c r="B425" s="0" t="s">
        <v>66</v>
      </c>
      <c r="C425" s="0" t="s">
        <v>208</v>
      </c>
    </row>
    <row r="427" customFormat="false" ht="14.65" hidden="false" customHeight="false" outlineLevel="0" collapsed="false">
      <c r="A427" s="0" t="s">
        <v>160</v>
      </c>
      <c r="B427" s="0" t="s">
        <v>209</v>
      </c>
      <c r="C427" s="0" t="s">
        <v>210</v>
      </c>
    </row>
    <row r="429" customFormat="false" ht="14.65" hidden="false" customHeight="false" outlineLevel="0" collapsed="false">
      <c r="A429" s="0" t="s">
        <v>127</v>
      </c>
      <c r="B429" s="0" t="s">
        <v>128</v>
      </c>
      <c r="C429" s="0" t="s">
        <v>211</v>
      </c>
      <c r="D429" s="0" t="s">
        <v>212</v>
      </c>
      <c r="E429" s="0" t="s">
        <v>131</v>
      </c>
      <c r="F429" s="0" t="s">
        <v>132</v>
      </c>
    </row>
    <row r="432" customFormat="false" ht="14.65" hidden="false" customHeight="false" outlineLevel="0" collapsed="false">
      <c r="A432" s="0" t="s">
        <v>58</v>
      </c>
      <c r="B432" s="0" t="s">
        <v>59</v>
      </c>
      <c r="C432" s="0" t="s">
        <v>60</v>
      </c>
      <c r="D432" s="0" t="s">
        <v>61</v>
      </c>
      <c r="E432" s="0" t="s">
        <v>62</v>
      </c>
      <c r="F432" s="0" t="s">
        <v>63</v>
      </c>
    </row>
    <row r="433" customFormat="false" ht="14.65" hidden="false" customHeight="false" outlineLevel="0" collapsed="false">
      <c r="A433" s="0" t="s">
        <v>213</v>
      </c>
      <c r="C433" s="0" t="s">
        <v>45</v>
      </c>
      <c r="F433" s="34" t="n">
        <v>34011</v>
      </c>
    </row>
    <row r="823" customFormat="false" ht="14.65" hidden="false" customHeight="false" outlineLevel="0" collapsed="false">
      <c r="A823" s="0" t="s">
        <v>58</v>
      </c>
      <c r="B823" s="0" t="s">
        <v>59</v>
      </c>
      <c r="C823" s="0" t="s">
        <v>60</v>
      </c>
      <c r="D823" s="0" t="s">
        <v>61</v>
      </c>
      <c r="E823" s="0" t="s">
        <v>62</v>
      </c>
      <c r="F823" s="0" t="s">
        <v>63</v>
      </c>
    </row>
    <row r="824" customFormat="false" ht="14.65" hidden="false" customHeight="false" outlineLevel="0" collapsed="false">
      <c r="A824" s="0" t="s">
        <v>214</v>
      </c>
      <c r="C824" s="0" t="s">
        <v>45</v>
      </c>
      <c r="F824" s="34" t="n">
        <v>34011</v>
      </c>
    </row>
    <row r="826" customFormat="false" ht="14.65" hidden="false" customHeight="false" outlineLevel="0" collapsed="false">
      <c r="A826" s="0" t="s">
        <v>65</v>
      </c>
      <c r="B826" s="0" t="s">
        <v>66</v>
      </c>
      <c r="C826" s="0" t="s">
        <v>215</v>
      </c>
    </row>
    <row r="827" customFormat="false" ht="14.65" hidden="false" customHeight="false" outlineLevel="0" collapsed="false">
      <c r="A827" s="0" t="s">
        <v>58</v>
      </c>
      <c r="B827" s="0" t="s">
        <v>59</v>
      </c>
      <c r="C827" s="0" t="s">
        <v>60</v>
      </c>
      <c r="D827" s="0" t="s">
        <v>61</v>
      </c>
      <c r="E827" s="0" t="s">
        <v>62</v>
      </c>
      <c r="F827" s="0" t="s">
        <v>63</v>
      </c>
    </row>
    <row r="828" customFormat="false" ht="14.65" hidden="false" customHeight="false" outlineLevel="0" collapsed="false">
      <c r="A828" s="0" t="s">
        <v>216</v>
      </c>
      <c r="C828" s="0" t="s">
        <v>45</v>
      </c>
      <c r="F828" s="34" t="n">
        <v>34011</v>
      </c>
    </row>
    <row r="830" customFormat="false" ht="14.65" hidden="false" customHeight="false" outlineLevel="0" collapsed="false">
      <c r="A830" s="0" t="s">
        <v>217</v>
      </c>
      <c r="B830" s="0" t="s">
        <v>218</v>
      </c>
    </row>
    <row r="831" customFormat="false" ht="14.65" hidden="false" customHeight="false" outlineLevel="0" collapsed="false">
      <c r="A831" s="0" t="s">
        <v>58</v>
      </c>
      <c r="B831" s="0" t="s">
        <v>59</v>
      </c>
      <c r="C831" s="0" t="s">
        <v>60</v>
      </c>
      <c r="D831" s="0" t="s">
        <v>61</v>
      </c>
      <c r="E831" s="0" t="s">
        <v>62</v>
      </c>
      <c r="F831" s="0" t="s">
        <v>63</v>
      </c>
    </row>
    <row r="832" customFormat="false" ht="14.65" hidden="false" customHeight="false" outlineLevel="0" collapsed="false">
      <c r="A832" s="0" t="s">
        <v>219</v>
      </c>
      <c r="C832" s="0" t="s">
        <v>45</v>
      </c>
      <c r="F832" s="34" t="n">
        <v>34011</v>
      </c>
    </row>
    <row r="834" customFormat="false" ht="14.65" hidden="false" customHeight="false" outlineLevel="0" collapsed="false">
      <c r="A834" s="0" t="s">
        <v>65</v>
      </c>
      <c r="B834" s="0" t="s">
        <v>66</v>
      </c>
      <c r="C834" s="0" t="s">
        <v>220</v>
      </c>
    </row>
    <row r="835" customFormat="false" ht="14.65" hidden="false" customHeight="false" outlineLevel="0" collapsed="false">
      <c r="A835" s="0" t="s">
        <v>185</v>
      </c>
      <c r="B835" s="0" t="s">
        <v>186</v>
      </c>
      <c r="C835" s="0" t="s">
        <v>187</v>
      </c>
      <c r="D835" s="0" t="s">
        <v>188</v>
      </c>
      <c r="E835" s="0" t="s">
        <v>164</v>
      </c>
    </row>
    <row r="837" customFormat="false" ht="14.65" hidden="false" customHeight="false" outlineLevel="0" collapsed="false">
      <c r="A837" s="0" t="s">
        <v>127</v>
      </c>
      <c r="B837" s="0" t="s">
        <v>128</v>
      </c>
      <c r="C837" s="0" t="s">
        <v>129</v>
      </c>
      <c r="D837" s="0" t="s">
        <v>130</v>
      </c>
      <c r="E837" s="0" t="s">
        <v>131</v>
      </c>
      <c r="F837" s="0" t="s">
        <v>132</v>
      </c>
    </row>
    <row r="840" customFormat="false" ht="14.65" hidden="false" customHeight="false" outlineLevel="0" collapsed="false">
      <c r="A840" s="0" t="s">
        <v>221</v>
      </c>
    </row>
    <row r="843" customFormat="false" ht="14.65" hidden="false" customHeight="false" outlineLevel="0" collapsed="false">
      <c r="A843" s="0" t="s">
        <v>58</v>
      </c>
      <c r="B843" s="0" t="s">
        <v>59</v>
      </c>
      <c r="C843" s="0" t="s">
        <v>60</v>
      </c>
      <c r="D843" s="0" t="s">
        <v>61</v>
      </c>
      <c r="E843" s="0" t="s">
        <v>62</v>
      </c>
      <c r="F843" s="0" t="s">
        <v>63</v>
      </c>
    </row>
    <row r="844" customFormat="false" ht="14.65" hidden="false" customHeight="false" outlineLevel="0" collapsed="false">
      <c r="A844" s="0" t="s">
        <v>222</v>
      </c>
      <c r="C844" s="0" t="s">
        <v>45</v>
      </c>
      <c r="F844" s="34" t="n">
        <v>34011</v>
      </c>
    </row>
    <row r="846" customFormat="false" ht="14.65" hidden="false" customHeight="false" outlineLevel="0" collapsed="false">
      <c r="A846" s="0" t="s">
        <v>223</v>
      </c>
      <c r="B846" s="0" t="s">
        <v>224</v>
      </c>
    </row>
    <row r="848" customFormat="false" ht="14.65" hidden="false" customHeight="false" outlineLevel="0" collapsed="false">
      <c r="A848" s="0" t="s">
        <v>225</v>
      </c>
      <c r="B848" s="0" t="s">
        <v>226</v>
      </c>
    </row>
    <row r="849" customFormat="false" ht="14.65" hidden="false" customHeight="false" outlineLevel="0" collapsed="false">
      <c r="A849" s="0" t="s">
        <v>227</v>
      </c>
      <c r="B849" s="0" t="s">
        <v>228</v>
      </c>
      <c r="C849" s="0" t="s">
        <v>229</v>
      </c>
      <c r="D849" s="0" t="s">
        <v>230</v>
      </c>
      <c r="E849" s="0" t="s">
        <v>231</v>
      </c>
      <c r="F849" s="0" t="s">
        <v>232</v>
      </c>
    </row>
    <row r="850" customFormat="false" ht="14.65" hidden="false" customHeight="false" outlineLevel="0" collapsed="false">
      <c r="A850" s="0" t="s">
        <v>233</v>
      </c>
      <c r="B850" s="0" t="s">
        <v>234</v>
      </c>
      <c r="C850" s="0" t="s">
        <v>235</v>
      </c>
    </row>
    <row r="851" customFormat="false" ht="14.65" hidden="false" customHeight="false" outlineLevel="0" collapsed="false">
      <c r="A851" s="0" t="s">
        <v>122</v>
      </c>
      <c r="B851" s="0" t="s">
        <v>123</v>
      </c>
    </row>
    <row r="854" customFormat="false" ht="14.65" hidden="false" customHeight="false" outlineLevel="0" collapsed="false">
      <c r="A854" s="0" t="s">
        <v>58</v>
      </c>
      <c r="B854" s="0" t="s">
        <v>59</v>
      </c>
      <c r="C854" s="0" t="s">
        <v>60</v>
      </c>
      <c r="D854" s="0" t="s">
        <v>61</v>
      </c>
      <c r="E854" s="0" t="s">
        <v>62</v>
      </c>
      <c r="F854" s="0" t="s">
        <v>63</v>
      </c>
    </row>
    <row r="855" customFormat="false" ht="14.65" hidden="false" customHeight="false" outlineLevel="0" collapsed="false">
      <c r="A855" s="0" t="s">
        <v>236</v>
      </c>
      <c r="C855" s="0" t="s">
        <v>45</v>
      </c>
      <c r="F855" s="34" t="n">
        <v>34011</v>
      </c>
    </row>
    <row r="857" customFormat="false" ht="14.65" hidden="false" customHeight="false" outlineLevel="0" collapsed="false">
      <c r="A857" s="0" t="s">
        <v>223</v>
      </c>
      <c r="B857" s="0" t="s">
        <v>237</v>
      </c>
    </row>
    <row r="858" customFormat="false" ht="14.65" hidden="false" customHeight="false" outlineLevel="0" collapsed="false">
      <c r="A858" s="0" t="s">
        <v>95</v>
      </c>
      <c r="B858" s="0" t="s">
        <v>238</v>
      </c>
      <c r="C858" s="0" t="s">
        <v>239</v>
      </c>
    </row>
    <row r="860" customFormat="false" ht="14.65" hidden="false" customHeight="false" outlineLevel="0" collapsed="false">
      <c r="A860" s="0" t="s">
        <v>127</v>
      </c>
      <c r="B860" s="0" t="s">
        <v>128</v>
      </c>
      <c r="C860" s="0" t="s">
        <v>129</v>
      </c>
      <c r="D860" s="0" t="s">
        <v>130</v>
      </c>
      <c r="E860" s="0" t="s">
        <v>131</v>
      </c>
      <c r="F860" s="0" t="s">
        <v>132</v>
      </c>
    </row>
    <row r="863" customFormat="false" ht="14.65" hidden="false" customHeight="false" outlineLevel="0" collapsed="false">
      <c r="A863" s="0" t="s">
        <v>58</v>
      </c>
      <c r="B863" s="0" t="s">
        <v>59</v>
      </c>
      <c r="C863" s="0" t="s">
        <v>60</v>
      </c>
      <c r="D863" s="0" t="s">
        <v>61</v>
      </c>
      <c r="E863" s="0" t="s">
        <v>62</v>
      </c>
      <c r="F863" s="0" t="s">
        <v>63</v>
      </c>
    </row>
    <row r="864" customFormat="false" ht="14.65" hidden="false" customHeight="false" outlineLevel="0" collapsed="false">
      <c r="A864" s="0" t="s">
        <v>240</v>
      </c>
      <c r="C864" s="0" t="s">
        <v>45</v>
      </c>
      <c r="F864" s="34" t="n">
        <v>34011</v>
      </c>
    </row>
    <row r="866" customFormat="false" ht="14.65" hidden="false" customHeight="false" outlineLevel="0" collapsed="false">
      <c r="A866" s="0" t="s">
        <v>134</v>
      </c>
      <c r="B866" s="0" t="s">
        <v>135</v>
      </c>
    </row>
    <row r="867" customFormat="false" ht="14.65" hidden="false" customHeight="false" outlineLevel="0" collapsed="false">
      <c r="A867" s="0" t="s">
        <v>136</v>
      </c>
      <c r="B867" s="0" t="s">
        <v>137</v>
      </c>
    </row>
    <row r="869" customFormat="false" ht="14.65" hidden="false" customHeight="false" outlineLevel="0" collapsed="false">
      <c r="A869" s="0" t="s">
        <v>138</v>
      </c>
      <c r="B869" s="0" t="s">
        <v>139</v>
      </c>
      <c r="D869" s="0" t="s">
        <v>6</v>
      </c>
      <c r="E869" s="0" t="s">
        <v>7</v>
      </c>
      <c r="F869" s="0" t="s">
        <v>9</v>
      </c>
    </row>
    <row r="871" customFormat="false" ht="14.65" hidden="false" customHeight="false" outlineLevel="0" collapsed="false">
      <c r="A871" s="0" t="s">
        <v>140</v>
      </c>
      <c r="B871" s="0" t="s">
        <v>141</v>
      </c>
      <c r="C871" s="0" t="n">
        <v>9</v>
      </c>
      <c r="D871" s="0" t="n">
        <v>84.1785</v>
      </c>
      <c r="E871" s="0" t="n">
        <v>257.4312</v>
      </c>
      <c r="F871" s="0" t="n">
        <v>8159</v>
      </c>
    </row>
    <row r="873" customFormat="false" ht="14.65" hidden="false" customHeight="false" outlineLevel="0" collapsed="false">
      <c r="A873" s="0" t="s">
        <v>137</v>
      </c>
      <c r="B873" s="0" t="n">
        <v>1</v>
      </c>
      <c r="C873" s="0" t="n">
        <v>9</v>
      </c>
      <c r="D873" s="0" t="n">
        <v>84.1785</v>
      </c>
      <c r="E873" s="0" t="n">
        <v>257.4312</v>
      </c>
      <c r="F873" s="0" t="n">
        <v>8159</v>
      </c>
    </row>
    <row r="875" customFormat="false" ht="14.65" hidden="false" customHeight="false" outlineLevel="0" collapsed="false">
      <c r="A875" s="0" t="s">
        <v>142</v>
      </c>
      <c r="B875" s="0" t="n">
        <v>8159</v>
      </c>
    </row>
    <row r="876" customFormat="false" ht="14.65" hidden="false" customHeight="false" outlineLevel="0" collapsed="false">
      <c r="A876" s="0" t="s">
        <v>58</v>
      </c>
      <c r="B876" s="0" t="s">
        <v>59</v>
      </c>
      <c r="C876" s="0" t="s">
        <v>60</v>
      </c>
      <c r="D876" s="0" t="s">
        <v>61</v>
      </c>
      <c r="E876" s="0" t="s">
        <v>62</v>
      </c>
      <c r="F876" s="0" t="s">
        <v>63</v>
      </c>
    </row>
    <row r="877" customFormat="false" ht="14.65" hidden="false" customHeight="false" outlineLevel="0" collapsed="false">
      <c r="A877" s="0" t="s">
        <v>241</v>
      </c>
      <c r="C877" s="0" t="s">
        <v>45</v>
      </c>
      <c r="F877" s="34" t="n">
        <v>34011</v>
      </c>
    </row>
    <row r="879" customFormat="false" ht="14.65" hidden="false" customHeight="false" outlineLevel="0" collapsed="false">
      <c r="A879" s="0" t="s">
        <v>134</v>
      </c>
      <c r="B879" s="0" t="s">
        <v>166</v>
      </c>
    </row>
    <row r="880" customFormat="false" ht="14.65" hidden="false" customHeight="false" outlineLevel="0" collapsed="false">
      <c r="A880" s="0" t="s">
        <v>136</v>
      </c>
      <c r="B880" s="0" t="s">
        <v>137</v>
      </c>
    </row>
    <row r="882" customFormat="false" ht="14.65" hidden="false" customHeight="false" outlineLevel="0" collapsed="false">
      <c r="A882" s="0" t="s">
        <v>138</v>
      </c>
      <c r="B882" s="0" t="s">
        <v>139</v>
      </c>
      <c r="D882" s="0" t="s">
        <v>6</v>
      </c>
      <c r="E882" s="0" t="s">
        <v>7</v>
      </c>
      <c r="F882" s="0" t="s">
        <v>9</v>
      </c>
    </row>
    <row r="884" customFormat="false" ht="14.65" hidden="false" customHeight="false" outlineLevel="0" collapsed="false">
      <c r="A884" s="0" t="s">
        <v>140</v>
      </c>
      <c r="B884" s="0" t="s">
        <v>141</v>
      </c>
      <c r="D884" s="0" t="n">
        <v>28.8282</v>
      </c>
      <c r="E884" s="0" t="n">
        <v>40.1563</v>
      </c>
      <c r="F884" s="0" t="n">
        <v>8159</v>
      </c>
    </row>
    <row r="886" customFormat="false" ht="14.65" hidden="false" customHeight="false" outlineLevel="0" collapsed="false">
      <c r="A886" s="0" t="s">
        <v>137</v>
      </c>
      <c r="B886" s="0" t="n">
        <v>1</v>
      </c>
      <c r="D886" s="0" t="n">
        <v>28.8282</v>
      </c>
      <c r="E886" s="0" t="n">
        <v>40.1563</v>
      </c>
      <c r="F886" s="0" t="n">
        <v>8159</v>
      </c>
    </row>
    <row r="888" customFormat="false" ht="14.65" hidden="false" customHeight="false" outlineLevel="0" collapsed="false">
      <c r="A888" s="0" t="s">
        <v>142</v>
      </c>
      <c r="B888" s="0" t="n">
        <v>8159</v>
      </c>
    </row>
    <row r="889" customFormat="false" ht="14.65" hidden="false" customHeight="false" outlineLevel="0" collapsed="false">
      <c r="A889" s="0" t="s">
        <v>58</v>
      </c>
      <c r="B889" s="0" t="s">
        <v>59</v>
      </c>
      <c r="C889" s="0" t="s">
        <v>60</v>
      </c>
      <c r="D889" s="0" t="s">
        <v>61</v>
      </c>
      <c r="E889" s="0" t="s">
        <v>62</v>
      </c>
      <c r="F889" s="0" t="s">
        <v>63</v>
      </c>
    </row>
    <row r="890" customFormat="false" ht="14.65" hidden="false" customHeight="false" outlineLevel="0" collapsed="false">
      <c r="A890" s="0" t="s">
        <v>242</v>
      </c>
      <c r="C890" s="0" t="s">
        <v>45</v>
      </c>
      <c r="F890" s="34" t="n">
        <v>34011</v>
      </c>
    </row>
    <row r="892" customFormat="false" ht="14.65" hidden="false" customHeight="false" outlineLevel="0" collapsed="false">
      <c r="A892" s="0" t="s">
        <v>134</v>
      </c>
      <c r="B892" s="0" t="s">
        <v>190</v>
      </c>
    </row>
    <row r="893" customFormat="false" ht="14.65" hidden="false" customHeight="false" outlineLevel="0" collapsed="false">
      <c r="A893" s="0" t="s">
        <v>136</v>
      </c>
      <c r="B893" s="0" t="s">
        <v>137</v>
      </c>
    </row>
    <row r="895" customFormat="false" ht="14.65" hidden="false" customHeight="false" outlineLevel="0" collapsed="false">
      <c r="A895" s="0" t="s">
        <v>138</v>
      </c>
      <c r="B895" s="0" t="s">
        <v>139</v>
      </c>
      <c r="D895" s="0" t="s">
        <v>6</v>
      </c>
      <c r="E895" s="0" t="s">
        <v>7</v>
      </c>
      <c r="F895" s="0" t="s">
        <v>9</v>
      </c>
    </row>
    <row r="897" customFormat="false" ht="14.65" hidden="false" customHeight="false" outlineLevel="0" collapsed="false">
      <c r="A897" s="0" t="s">
        <v>140</v>
      </c>
      <c r="B897" s="0" t="s">
        <v>141</v>
      </c>
      <c r="D897" s="0" t="n">
        <v>1.417</v>
      </c>
      <c r="E897" s="0" t="n">
        <v>0.69</v>
      </c>
      <c r="F897" s="0" t="n">
        <v>8159</v>
      </c>
    </row>
    <row r="899" customFormat="false" ht="14.65" hidden="false" customHeight="false" outlineLevel="0" collapsed="false">
      <c r="A899" s="0" t="s">
        <v>137</v>
      </c>
      <c r="B899" s="0" t="n">
        <v>1</v>
      </c>
      <c r="D899" s="0" t="n">
        <v>1.417</v>
      </c>
      <c r="E899" s="0" t="n">
        <v>0.69</v>
      </c>
      <c r="F899" s="0" t="n">
        <v>8159</v>
      </c>
    </row>
    <row r="901" customFormat="false" ht="14.65" hidden="false" customHeight="false" outlineLevel="0" collapsed="false">
      <c r="A901" s="0" t="s">
        <v>142</v>
      </c>
      <c r="B901" s="0" t="n">
        <v>8159</v>
      </c>
    </row>
    <row r="902" customFormat="false" ht="14.65" hidden="false" customHeight="false" outlineLevel="0" collapsed="false">
      <c r="A902" s="0" t="s">
        <v>58</v>
      </c>
      <c r="B902" s="0" t="s">
        <v>59</v>
      </c>
      <c r="C902" s="0" t="s">
        <v>60</v>
      </c>
      <c r="D902" s="0" t="s">
        <v>61</v>
      </c>
      <c r="E902" s="0" t="s">
        <v>62</v>
      </c>
      <c r="F902" s="0" t="s">
        <v>63</v>
      </c>
    </row>
    <row r="903" customFormat="false" ht="14.65" hidden="false" customHeight="false" outlineLevel="0" collapsed="false">
      <c r="A903" s="0" t="s">
        <v>243</v>
      </c>
      <c r="C903" s="0" t="s">
        <v>45</v>
      </c>
      <c r="F903" s="34" t="n">
        <v>34011</v>
      </c>
    </row>
    <row r="905" customFormat="false" ht="14.65" hidden="false" customHeight="false" outlineLevel="0" collapsed="false">
      <c r="A905" s="0" t="s">
        <v>65</v>
      </c>
      <c r="B905" s="0" t="s">
        <v>66</v>
      </c>
      <c r="C905" s="0" t="s">
        <v>244</v>
      </c>
    </row>
    <row r="907" customFormat="false" ht="14.65" hidden="false" customHeight="false" outlineLevel="0" collapsed="false">
      <c r="A907" s="0" t="s">
        <v>245</v>
      </c>
      <c r="B907" s="0" t="s">
        <v>237</v>
      </c>
    </row>
    <row r="908" customFormat="false" ht="14.65" hidden="false" customHeight="false" outlineLevel="0" collapsed="false">
      <c r="A908" s="0" t="s">
        <v>160</v>
      </c>
      <c r="B908" s="0" t="s">
        <v>246</v>
      </c>
      <c r="C908" s="0" t="s">
        <v>247</v>
      </c>
    </row>
    <row r="910" customFormat="false" ht="14.65" hidden="false" customHeight="false" outlineLevel="0" collapsed="false">
      <c r="A910" s="0" t="s">
        <v>127</v>
      </c>
      <c r="B910" s="0" t="s">
        <v>128</v>
      </c>
      <c r="C910" s="0" t="s">
        <v>129</v>
      </c>
      <c r="D910" s="0" t="s">
        <v>130</v>
      </c>
      <c r="E910" s="0" t="s">
        <v>131</v>
      </c>
      <c r="F910" s="0" t="s">
        <v>132</v>
      </c>
    </row>
    <row r="913" customFormat="false" ht="14.65" hidden="false" customHeight="false" outlineLevel="0" collapsed="false">
      <c r="A913" s="0" t="s">
        <v>58</v>
      </c>
      <c r="B913" s="0" t="s">
        <v>59</v>
      </c>
      <c r="C913" s="0" t="s">
        <v>60</v>
      </c>
      <c r="D913" s="0" t="s">
        <v>61</v>
      </c>
      <c r="E913" s="0" t="s">
        <v>62</v>
      </c>
      <c r="F913" s="0" t="s">
        <v>63</v>
      </c>
    </row>
    <row r="914" customFormat="false" ht="14.65" hidden="false" customHeight="false" outlineLevel="0" collapsed="false">
      <c r="A914" s="0" t="s">
        <v>248</v>
      </c>
      <c r="C914" s="0" t="s">
        <v>45</v>
      </c>
      <c r="F914" s="34" t="n">
        <v>34011</v>
      </c>
    </row>
    <row r="916" customFormat="false" ht="14.65" hidden="false" customHeight="false" outlineLevel="0" collapsed="false">
      <c r="A916" s="0" t="s">
        <v>134</v>
      </c>
      <c r="B916" s="0" t="s">
        <v>26</v>
      </c>
    </row>
    <row r="917" customFormat="false" ht="14.65" hidden="false" customHeight="false" outlineLevel="0" collapsed="false">
      <c r="A917" s="0" t="s">
        <v>136</v>
      </c>
      <c r="B917" s="0" t="s">
        <v>137</v>
      </c>
    </row>
    <row r="919" customFormat="false" ht="14.65" hidden="false" customHeight="false" outlineLevel="0" collapsed="false">
      <c r="A919" s="0" t="s">
        <v>138</v>
      </c>
      <c r="B919" s="0" t="s">
        <v>139</v>
      </c>
      <c r="D919" s="0" t="s">
        <v>6</v>
      </c>
      <c r="E919" s="0" t="s">
        <v>7</v>
      </c>
      <c r="F919" s="0" t="s">
        <v>9</v>
      </c>
    </row>
    <row r="921" customFormat="false" ht="14.65" hidden="false" customHeight="false" outlineLevel="0" collapsed="false">
      <c r="A921" s="0" t="s">
        <v>140</v>
      </c>
      <c r="B921" s="0" t="s">
        <v>141</v>
      </c>
      <c r="C921" s="0" t="n">
        <v>4</v>
      </c>
      <c r="D921" s="0" t="n">
        <v>92.1525</v>
      </c>
      <c r="E921" s="0" t="n">
        <v>158.0119</v>
      </c>
      <c r="F921" s="0" t="n">
        <v>4307</v>
      </c>
    </row>
    <row r="923" customFormat="false" ht="14.65" hidden="false" customHeight="false" outlineLevel="0" collapsed="false">
      <c r="A923" s="0" t="s">
        <v>137</v>
      </c>
      <c r="B923" s="0" t="n">
        <v>1</v>
      </c>
      <c r="C923" s="0" t="n">
        <v>4</v>
      </c>
      <c r="D923" s="0" t="n">
        <v>92.1525</v>
      </c>
      <c r="E923" s="0" t="n">
        <v>158.0119</v>
      </c>
      <c r="F923" s="0" t="n">
        <v>4307</v>
      </c>
    </row>
    <row r="925" customFormat="false" ht="14.65" hidden="false" customHeight="false" outlineLevel="0" collapsed="false">
      <c r="A925" s="0" t="s">
        <v>142</v>
      </c>
      <c r="B925" s="0" t="n">
        <v>4307</v>
      </c>
    </row>
    <row r="926" customFormat="false" ht="14.65" hidden="false" customHeight="false" outlineLevel="0" collapsed="false">
      <c r="A926" s="0" t="s">
        <v>58</v>
      </c>
      <c r="B926" s="0" t="s">
        <v>59</v>
      </c>
      <c r="C926" s="0" t="s">
        <v>60</v>
      </c>
      <c r="D926" s="0" t="s">
        <v>61</v>
      </c>
      <c r="E926" s="0" t="s">
        <v>62</v>
      </c>
      <c r="F926" s="0" t="s">
        <v>63</v>
      </c>
    </row>
    <row r="927" customFormat="false" ht="14.65" hidden="false" customHeight="false" outlineLevel="0" collapsed="false">
      <c r="A927" s="0" t="s">
        <v>249</v>
      </c>
      <c r="C927" s="0" t="s">
        <v>45</v>
      </c>
      <c r="F927" s="34" t="n">
        <v>34011</v>
      </c>
    </row>
    <row r="929" customFormat="false" ht="14.65" hidden="false" customHeight="false" outlineLevel="0" collapsed="false">
      <c r="A929" s="0" t="s">
        <v>134</v>
      </c>
      <c r="B929" s="0" t="s">
        <v>168</v>
      </c>
    </row>
    <row r="930" customFormat="false" ht="14.65" hidden="false" customHeight="false" outlineLevel="0" collapsed="false">
      <c r="A930" s="0" t="s">
        <v>136</v>
      </c>
      <c r="B930" s="0" t="s">
        <v>137</v>
      </c>
    </row>
    <row r="932" customFormat="false" ht="14.65" hidden="false" customHeight="false" outlineLevel="0" collapsed="false">
      <c r="A932" s="0" t="s">
        <v>138</v>
      </c>
      <c r="B932" s="0" t="s">
        <v>139</v>
      </c>
      <c r="D932" s="0" t="s">
        <v>6</v>
      </c>
      <c r="E932" s="0" t="s">
        <v>7</v>
      </c>
      <c r="F932" s="0" t="s">
        <v>9</v>
      </c>
    </row>
    <row r="934" customFormat="false" ht="14.65" hidden="false" customHeight="false" outlineLevel="0" collapsed="false">
      <c r="A934" s="0" t="s">
        <v>140</v>
      </c>
      <c r="B934" s="0" t="s">
        <v>141</v>
      </c>
      <c r="D934" s="0" t="n">
        <v>24.0875</v>
      </c>
      <c r="E934" s="0" t="n">
        <v>24.5379</v>
      </c>
      <c r="F934" s="0" t="n">
        <v>4307</v>
      </c>
    </row>
    <row r="936" customFormat="false" ht="14.65" hidden="false" customHeight="false" outlineLevel="0" collapsed="false">
      <c r="A936" s="0" t="s">
        <v>137</v>
      </c>
      <c r="B936" s="0" t="n">
        <v>1</v>
      </c>
      <c r="D936" s="0" t="n">
        <v>24.0875</v>
      </c>
      <c r="E936" s="0" t="n">
        <v>24.5379</v>
      </c>
      <c r="F936" s="0" t="n">
        <v>4307</v>
      </c>
    </row>
    <row r="938" customFormat="false" ht="14.65" hidden="false" customHeight="false" outlineLevel="0" collapsed="false">
      <c r="A938" s="0" t="s">
        <v>142</v>
      </c>
      <c r="B938" s="0" t="n">
        <v>4307</v>
      </c>
    </row>
    <row r="939" customFormat="false" ht="14.65" hidden="false" customHeight="false" outlineLevel="0" collapsed="false">
      <c r="A939" s="0" t="s">
        <v>58</v>
      </c>
      <c r="B939" s="0" t="s">
        <v>59</v>
      </c>
      <c r="C939" s="0" t="s">
        <v>60</v>
      </c>
      <c r="D939" s="0" t="s">
        <v>61</v>
      </c>
      <c r="E939" s="0" t="s">
        <v>62</v>
      </c>
      <c r="F939" s="0" t="s">
        <v>63</v>
      </c>
    </row>
    <row r="940" customFormat="false" ht="14.65" hidden="false" customHeight="false" outlineLevel="0" collapsed="false">
      <c r="A940" s="0" t="s">
        <v>250</v>
      </c>
      <c r="C940" s="0" t="s">
        <v>45</v>
      </c>
      <c r="F940" s="34" t="n">
        <v>34011</v>
      </c>
    </row>
    <row r="942" customFormat="false" ht="14.65" hidden="false" customHeight="false" outlineLevel="0" collapsed="false">
      <c r="A942" s="0" t="s">
        <v>134</v>
      </c>
      <c r="B942" s="0" t="s">
        <v>192</v>
      </c>
    </row>
    <row r="943" customFormat="false" ht="14.65" hidden="false" customHeight="false" outlineLevel="0" collapsed="false">
      <c r="A943" s="0" t="s">
        <v>136</v>
      </c>
      <c r="B943" s="0" t="s">
        <v>137</v>
      </c>
    </row>
    <row r="945" customFormat="false" ht="14.65" hidden="false" customHeight="false" outlineLevel="0" collapsed="false">
      <c r="A945" s="0" t="s">
        <v>138</v>
      </c>
      <c r="B945" s="0" t="s">
        <v>139</v>
      </c>
      <c r="D945" s="0" t="s">
        <v>6</v>
      </c>
      <c r="E945" s="0" t="s">
        <v>7</v>
      </c>
      <c r="F945" s="0" t="s">
        <v>9</v>
      </c>
    </row>
    <row r="947" customFormat="false" ht="14.65" hidden="false" customHeight="false" outlineLevel="0" collapsed="false">
      <c r="A947" s="0" t="s">
        <v>140</v>
      </c>
      <c r="B947" s="0" t="s">
        <v>141</v>
      </c>
      <c r="D947" s="0" t="n">
        <v>1.1314</v>
      </c>
      <c r="E947" s="0" t="n">
        <v>0.4794</v>
      </c>
      <c r="F947" s="0" t="n">
        <v>4307</v>
      </c>
    </row>
    <row r="949" customFormat="false" ht="14.65" hidden="false" customHeight="false" outlineLevel="0" collapsed="false">
      <c r="A949" s="0" t="s">
        <v>137</v>
      </c>
      <c r="B949" s="0" t="n">
        <v>1</v>
      </c>
      <c r="D949" s="0" t="n">
        <v>1.1314</v>
      </c>
      <c r="E949" s="0" t="n">
        <v>0.4794</v>
      </c>
      <c r="F949" s="0" t="n">
        <v>4307</v>
      </c>
    </row>
    <row r="951" customFormat="false" ht="14.65" hidden="false" customHeight="false" outlineLevel="0" collapsed="false">
      <c r="A951" s="0" t="s">
        <v>142</v>
      </c>
      <c r="B951" s="0" t="n">
        <v>4307</v>
      </c>
    </row>
    <row r="952" customFormat="false" ht="14.65" hidden="false" customHeight="false" outlineLevel="0" collapsed="false">
      <c r="A952" s="0" t="s">
        <v>58</v>
      </c>
      <c r="B952" s="0" t="s">
        <v>59</v>
      </c>
      <c r="C952" s="0" t="s">
        <v>60</v>
      </c>
      <c r="D952" s="0" t="s">
        <v>61</v>
      </c>
      <c r="E952" s="0" t="s">
        <v>62</v>
      </c>
      <c r="F952" s="0" t="s">
        <v>63</v>
      </c>
    </row>
    <row r="953" customFormat="false" ht="14.65" hidden="false" customHeight="false" outlineLevel="0" collapsed="false">
      <c r="A953" s="0" t="s">
        <v>251</v>
      </c>
      <c r="C953" s="0" t="s">
        <v>45</v>
      </c>
      <c r="F953" s="34" t="n">
        <v>34011</v>
      </c>
    </row>
    <row r="955" customFormat="false" ht="14.65" hidden="false" customHeight="false" outlineLevel="0" collapsed="false">
      <c r="A955" s="0" t="s">
        <v>65</v>
      </c>
      <c r="B955" s="0" t="s">
        <v>66</v>
      </c>
      <c r="C955" s="0" t="s">
        <v>252</v>
      </c>
    </row>
    <row r="957" customFormat="false" ht="14.65" hidden="false" customHeight="false" outlineLevel="0" collapsed="false">
      <c r="A957" s="0" t="s">
        <v>253</v>
      </c>
      <c r="B957" s="0" t="s">
        <v>237</v>
      </c>
    </row>
    <row r="958" customFormat="false" ht="14.65" hidden="false" customHeight="false" outlineLevel="0" collapsed="false">
      <c r="A958" s="0" t="s">
        <v>95</v>
      </c>
      <c r="B958" s="0" t="s">
        <v>254</v>
      </c>
      <c r="C958" s="0" t="s">
        <v>239</v>
      </c>
    </row>
    <row r="960" customFormat="false" ht="14.65" hidden="false" customHeight="false" outlineLevel="0" collapsed="false">
      <c r="A960" s="0" t="s">
        <v>127</v>
      </c>
      <c r="B960" s="0" t="s">
        <v>128</v>
      </c>
      <c r="C960" s="0" t="s">
        <v>129</v>
      </c>
      <c r="D960" s="0" t="s">
        <v>130</v>
      </c>
      <c r="E960" s="0" t="s">
        <v>131</v>
      </c>
      <c r="F960" s="0" t="s">
        <v>132</v>
      </c>
    </row>
    <row r="963" customFormat="false" ht="14.65" hidden="false" customHeight="false" outlineLevel="0" collapsed="false">
      <c r="A963" s="0" t="s">
        <v>58</v>
      </c>
      <c r="B963" s="0" t="s">
        <v>59</v>
      </c>
      <c r="C963" s="0" t="s">
        <v>60</v>
      </c>
      <c r="D963" s="0" t="s">
        <v>61</v>
      </c>
      <c r="E963" s="0" t="s">
        <v>62</v>
      </c>
      <c r="F963" s="0" t="s">
        <v>63</v>
      </c>
    </row>
    <row r="964" customFormat="false" ht="14.65" hidden="false" customHeight="false" outlineLevel="0" collapsed="false">
      <c r="A964" s="0" t="s">
        <v>255</v>
      </c>
      <c r="C964" s="0" t="s">
        <v>45</v>
      </c>
      <c r="F964" s="34" t="n">
        <v>34011</v>
      </c>
    </row>
    <row r="966" customFormat="false" ht="14.65" hidden="false" customHeight="false" outlineLevel="0" collapsed="false">
      <c r="A966" s="0" t="s">
        <v>134</v>
      </c>
      <c r="B966" s="0" t="s">
        <v>145</v>
      </c>
    </row>
    <row r="967" customFormat="false" ht="14.65" hidden="false" customHeight="false" outlineLevel="0" collapsed="false">
      <c r="A967" s="0" t="s">
        <v>136</v>
      </c>
      <c r="B967" s="0" t="s">
        <v>137</v>
      </c>
    </row>
    <row r="969" customFormat="false" ht="14.65" hidden="false" customHeight="false" outlineLevel="0" collapsed="false">
      <c r="A969" s="0" t="s">
        <v>138</v>
      </c>
      <c r="B969" s="0" t="s">
        <v>139</v>
      </c>
      <c r="D969" s="0" t="s">
        <v>6</v>
      </c>
      <c r="E969" s="0" t="s">
        <v>7</v>
      </c>
      <c r="F969" s="0" t="s">
        <v>9</v>
      </c>
    </row>
    <row r="971" customFormat="false" ht="14.65" hidden="false" customHeight="false" outlineLevel="0" collapsed="false">
      <c r="A971" s="0" t="s">
        <v>140</v>
      </c>
      <c r="B971" s="0" t="s">
        <v>141</v>
      </c>
      <c r="D971" s="0" t="n">
        <v>65.6016</v>
      </c>
      <c r="E971" s="0" t="n">
        <v>82.7885</v>
      </c>
      <c r="F971" s="0" t="n">
        <v>2648</v>
      </c>
    </row>
    <row r="973" customFormat="false" ht="14.65" hidden="false" customHeight="false" outlineLevel="0" collapsed="false">
      <c r="A973" s="0" t="s">
        <v>137</v>
      </c>
      <c r="B973" s="0" t="n">
        <v>1</v>
      </c>
      <c r="D973" s="0" t="n">
        <v>65.6016</v>
      </c>
      <c r="E973" s="0" t="n">
        <v>82.7885</v>
      </c>
      <c r="F973" s="0" t="n">
        <v>2648</v>
      </c>
    </row>
    <row r="975" customFormat="false" ht="14.65" hidden="false" customHeight="false" outlineLevel="0" collapsed="false">
      <c r="A975" s="0" t="s">
        <v>142</v>
      </c>
      <c r="B975" s="0" t="n">
        <v>2648</v>
      </c>
    </row>
    <row r="976" customFormat="false" ht="14.65" hidden="false" customHeight="false" outlineLevel="0" collapsed="false">
      <c r="A976" s="0" t="s">
        <v>58</v>
      </c>
      <c r="B976" s="0" t="s">
        <v>59</v>
      </c>
      <c r="C976" s="0" t="s">
        <v>60</v>
      </c>
      <c r="D976" s="0" t="s">
        <v>61</v>
      </c>
      <c r="E976" s="0" t="s">
        <v>62</v>
      </c>
      <c r="F976" s="0" t="s">
        <v>63</v>
      </c>
    </row>
    <row r="977" customFormat="false" ht="14.65" hidden="false" customHeight="false" outlineLevel="0" collapsed="false">
      <c r="A977" s="0" t="s">
        <v>256</v>
      </c>
      <c r="C977" s="0" t="s">
        <v>45</v>
      </c>
      <c r="F977" s="34" t="n">
        <v>34011</v>
      </c>
    </row>
    <row r="979" customFormat="false" ht="14.65" hidden="false" customHeight="false" outlineLevel="0" collapsed="false">
      <c r="A979" s="0" t="s">
        <v>134</v>
      </c>
      <c r="B979" s="0" t="s">
        <v>170</v>
      </c>
    </row>
    <row r="980" customFormat="false" ht="14.65" hidden="false" customHeight="false" outlineLevel="0" collapsed="false">
      <c r="A980" s="0" t="s">
        <v>136</v>
      </c>
      <c r="B980" s="0" t="s">
        <v>137</v>
      </c>
    </row>
    <row r="982" customFormat="false" ht="14.65" hidden="false" customHeight="false" outlineLevel="0" collapsed="false">
      <c r="A982" s="0" t="s">
        <v>138</v>
      </c>
      <c r="B982" s="0" t="s">
        <v>139</v>
      </c>
      <c r="D982" s="0" t="s">
        <v>6</v>
      </c>
      <c r="E982" s="0" t="s">
        <v>7</v>
      </c>
      <c r="F982" s="0" t="s">
        <v>9</v>
      </c>
    </row>
    <row r="984" customFormat="false" ht="14.65" hidden="false" customHeight="false" outlineLevel="0" collapsed="false">
      <c r="A984" s="0" t="s">
        <v>140</v>
      </c>
      <c r="B984" s="0" t="s">
        <v>141</v>
      </c>
      <c r="D984" s="0" t="n">
        <v>14.7239</v>
      </c>
      <c r="E984" s="0" t="n">
        <v>17.0495</v>
      </c>
      <c r="F984" s="0" t="n">
        <v>2648</v>
      </c>
    </row>
    <row r="986" customFormat="false" ht="14.65" hidden="false" customHeight="false" outlineLevel="0" collapsed="false">
      <c r="A986" s="0" t="s">
        <v>137</v>
      </c>
      <c r="B986" s="0" t="n">
        <v>1</v>
      </c>
      <c r="D986" s="0" t="n">
        <v>14.7239</v>
      </c>
      <c r="E986" s="0" t="n">
        <v>17.0495</v>
      </c>
      <c r="F986" s="0" t="n">
        <v>2648</v>
      </c>
    </row>
    <row r="988" customFormat="false" ht="14.65" hidden="false" customHeight="false" outlineLevel="0" collapsed="false">
      <c r="A988" s="0" t="s">
        <v>142</v>
      </c>
      <c r="B988" s="0" t="n">
        <v>2648</v>
      </c>
    </row>
    <row r="989" customFormat="false" ht="14.65" hidden="false" customHeight="false" outlineLevel="0" collapsed="false">
      <c r="A989" s="0" t="s">
        <v>58</v>
      </c>
      <c r="B989" s="0" t="s">
        <v>59</v>
      </c>
      <c r="C989" s="0" t="s">
        <v>60</v>
      </c>
      <c r="D989" s="0" t="s">
        <v>61</v>
      </c>
      <c r="E989" s="0" t="s">
        <v>62</v>
      </c>
      <c r="F989" s="0" t="s">
        <v>63</v>
      </c>
    </row>
    <row r="990" customFormat="false" ht="14.65" hidden="false" customHeight="false" outlineLevel="0" collapsed="false">
      <c r="A990" s="0" t="s">
        <v>257</v>
      </c>
      <c r="C990" s="0" t="s">
        <v>45</v>
      </c>
      <c r="F990" s="34" t="n">
        <v>34011</v>
      </c>
    </row>
    <row r="992" customFormat="false" ht="14.65" hidden="false" customHeight="false" outlineLevel="0" collapsed="false">
      <c r="A992" s="0" t="s">
        <v>134</v>
      </c>
      <c r="B992" s="0" t="s">
        <v>194</v>
      </c>
    </row>
    <row r="993" customFormat="false" ht="14.65" hidden="false" customHeight="false" outlineLevel="0" collapsed="false">
      <c r="A993" s="0" t="s">
        <v>136</v>
      </c>
      <c r="B993" s="0" t="s">
        <v>137</v>
      </c>
    </row>
    <row r="995" customFormat="false" ht="14.65" hidden="false" customHeight="false" outlineLevel="0" collapsed="false">
      <c r="A995" s="0" t="s">
        <v>138</v>
      </c>
      <c r="B995" s="0" t="s">
        <v>139</v>
      </c>
      <c r="D995" s="0" t="s">
        <v>6</v>
      </c>
      <c r="E995" s="0" t="s">
        <v>7</v>
      </c>
      <c r="F995" s="0" t="s">
        <v>9</v>
      </c>
    </row>
    <row r="997" customFormat="false" ht="14.65" hidden="false" customHeight="false" outlineLevel="0" collapsed="false">
      <c r="A997" s="0" t="s">
        <v>140</v>
      </c>
      <c r="B997" s="0" t="s">
        <v>141</v>
      </c>
      <c r="D997" s="0" t="n">
        <v>1.2749</v>
      </c>
      <c r="E997" s="0" t="n">
        <v>0.6469</v>
      </c>
      <c r="F997" s="0" t="n">
        <v>2648</v>
      </c>
    </row>
    <row r="999" customFormat="false" ht="14.65" hidden="false" customHeight="false" outlineLevel="0" collapsed="false">
      <c r="A999" s="0" t="s">
        <v>137</v>
      </c>
      <c r="B999" s="0" t="n">
        <v>1</v>
      </c>
      <c r="D999" s="0" t="n">
        <v>1.2749</v>
      </c>
      <c r="E999" s="0" t="n">
        <v>0.6469</v>
      </c>
      <c r="F999" s="0" t="n">
        <v>2648</v>
      </c>
    </row>
    <row r="1001" customFormat="false" ht="14.65" hidden="false" customHeight="false" outlineLevel="0" collapsed="false">
      <c r="A1001" s="0" t="s">
        <v>142</v>
      </c>
      <c r="B1001" s="0" t="n">
        <v>2648</v>
      </c>
    </row>
    <row r="1002" customFormat="false" ht="14.65" hidden="false" customHeight="false" outlineLevel="0" collapsed="false">
      <c r="A1002" s="0" t="s">
        <v>58</v>
      </c>
      <c r="B1002" s="0" t="s">
        <v>59</v>
      </c>
      <c r="C1002" s="0" t="s">
        <v>60</v>
      </c>
      <c r="D1002" s="0" t="s">
        <v>61</v>
      </c>
      <c r="E1002" s="0" t="s">
        <v>62</v>
      </c>
      <c r="F1002" s="0" t="s">
        <v>63</v>
      </c>
    </row>
    <row r="1003" customFormat="false" ht="14.65" hidden="false" customHeight="false" outlineLevel="0" collapsed="false">
      <c r="A1003" s="0" t="s">
        <v>258</v>
      </c>
      <c r="C1003" s="0" t="s">
        <v>45</v>
      </c>
      <c r="F1003" s="34" t="n">
        <v>34011</v>
      </c>
    </row>
    <row r="1005" customFormat="false" ht="14.65" hidden="false" customHeight="false" outlineLevel="0" collapsed="false">
      <c r="A1005" s="0" t="s">
        <v>65</v>
      </c>
      <c r="B1005" s="0" t="s">
        <v>66</v>
      </c>
      <c r="C1005" s="0" t="s">
        <v>259</v>
      </c>
    </row>
    <row r="1007" customFormat="false" ht="14.65" hidden="false" customHeight="false" outlineLevel="0" collapsed="false">
      <c r="A1007" s="0" t="s">
        <v>260</v>
      </c>
      <c r="B1007" s="0" t="s">
        <v>237</v>
      </c>
    </row>
    <row r="1008" customFormat="false" ht="14.65" hidden="false" customHeight="false" outlineLevel="0" collapsed="false">
      <c r="A1008" s="0" t="s">
        <v>95</v>
      </c>
      <c r="B1008" s="0" t="s">
        <v>261</v>
      </c>
      <c r="C1008" s="0" t="s">
        <v>239</v>
      </c>
    </row>
    <row r="1010" customFormat="false" ht="14.65" hidden="false" customHeight="false" outlineLevel="0" collapsed="false">
      <c r="A1010" s="0" t="s">
        <v>127</v>
      </c>
      <c r="B1010" s="0" t="s">
        <v>128</v>
      </c>
      <c r="C1010" s="0" t="s">
        <v>129</v>
      </c>
      <c r="D1010" s="0" t="s">
        <v>130</v>
      </c>
      <c r="E1010" s="0" t="s">
        <v>131</v>
      </c>
      <c r="F1010" s="0" t="s">
        <v>132</v>
      </c>
    </row>
    <row r="1013" customFormat="false" ht="14.65" hidden="false" customHeight="false" outlineLevel="0" collapsed="false">
      <c r="A1013" s="0" t="s">
        <v>58</v>
      </c>
      <c r="B1013" s="0" t="s">
        <v>59</v>
      </c>
      <c r="C1013" s="0" t="s">
        <v>60</v>
      </c>
      <c r="D1013" s="0" t="s">
        <v>61</v>
      </c>
      <c r="E1013" s="0" t="s">
        <v>62</v>
      </c>
      <c r="F1013" s="0" t="s">
        <v>63</v>
      </c>
    </row>
    <row r="1014" customFormat="false" ht="14.65" hidden="false" customHeight="false" outlineLevel="0" collapsed="false">
      <c r="A1014" s="0" t="s">
        <v>262</v>
      </c>
      <c r="C1014" s="0" t="s">
        <v>45</v>
      </c>
      <c r="F1014" s="34" t="n">
        <v>34011</v>
      </c>
    </row>
    <row r="1016" customFormat="false" ht="14.65" hidden="false" customHeight="false" outlineLevel="0" collapsed="false">
      <c r="A1016" s="0" t="s">
        <v>134</v>
      </c>
      <c r="B1016" s="0" t="s">
        <v>147</v>
      </c>
    </row>
    <row r="1017" customFormat="false" ht="14.65" hidden="false" customHeight="false" outlineLevel="0" collapsed="false">
      <c r="A1017" s="0" t="s">
        <v>136</v>
      </c>
      <c r="B1017" s="0" t="s">
        <v>137</v>
      </c>
    </row>
    <row r="1019" customFormat="false" ht="14.65" hidden="false" customHeight="false" outlineLevel="0" collapsed="false">
      <c r="A1019" s="0" t="s">
        <v>138</v>
      </c>
      <c r="B1019" s="0" t="s">
        <v>139</v>
      </c>
      <c r="D1019" s="0" t="s">
        <v>6</v>
      </c>
      <c r="E1019" s="0" t="s">
        <v>7</v>
      </c>
      <c r="F1019" s="0" t="s">
        <v>9</v>
      </c>
    </row>
    <row r="1021" customFormat="false" ht="14.65" hidden="false" customHeight="false" outlineLevel="0" collapsed="false">
      <c r="A1021" s="0" t="s">
        <v>140</v>
      </c>
      <c r="B1021" s="0" t="s">
        <v>141</v>
      </c>
      <c r="D1021" s="0" t="n">
        <v>89.5845</v>
      </c>
      <c r="E1021" s="0" t="n">
        <v>118.1442</v>
      </c>
      <c r="F1021" s="0" t="n">
        <v>2296</v>
      </c>
    </row>
    <row r="1023" customFormat="false" ht="14.65" hidden="false" customHeight="false" outlineLevel="0" collapsed="false">
      <c r="A1023" s="0" t="s">
        <v>137</v>
      </c>
      <c r="B1023" s="0" t="n">
        <v>1</v>
      </c>
      <c r="D1023" s="0" t="n">
        <v>89.5845</v>
      </c>
      <c r="E1023" s="0" t="n">
        <v>118.1442</v>
      </c>
      <c r="F1023" s="0" t="n">
        <v>2296</v>
      </c>
    </row>
    <row r="1025" customFormat="false" ht="14.65" hidden="false" customHeight="false" outlineLevel="0" collapsed="false">
      <c r="A1025" s="0" t="s">
        <v>142</v>
      </c>
      <c r="B1025" s="0" t="n">
        <v>2296</v>
      </c>
    </row>
    <row r="1026" customFormat="false" ht="14.65" hidden="false" customHeight="false" outlineLevel="0" collapsed="false">
      <c r="A1026" s="0" t="s">
        <v>58</v>
      </c>
      <c r="B1026" s="0" t="s">
        <v>59</v>
      </c>
      <c r="C1026" s="0" t="s">
        <v>60</v>
      </c>
      <c r="D1026" s="0" t="s">
        <v>61</v>
      </c>
      <c r="E1026" s="0" t="s">
        <v>62</v>
      </c>
      <c r="F1026" s="0" t="s">
        <v>63</v>
      </c>
    </row>
    <row r="1027" customFormat="false" ht="14.65" hidden="false" customHeight="false" outlineLevel="0" collapsed="false">
      <c r="A1027" s="0" t="s">
        <v>263</v>
      </c>
      <c r="C1027" s="0" t="s">
        <v>45</v>
      </c>
      <c r="F1027" s="34" t="n">
        <v>34011</v>
      </c>
    </row>
    <row r="1029" customFormat="false" ht="14.65" hidden="false" customHeight="false" outlineLevel="0" collapsed="false">
      <c r="A1029" s="0" t="s">
        <v>134</v>
      </c>
      <c r="B1029" s="0" t="s">
        <v>172</v>
      </c>
    </row>
    <row r="1030" customFormat="false" ht="14.65" hidden="false" customHeight="false" outlineLevel="0" collapsed="false">
      <c r="A1030" s="0" t="s">
        <v>136</v>
      </c>
      <c r="B1030" s="0" t="s">
        <v>137</v>
      </c>
    </row>
    <row r="1032" customFormat="false" ht="14.65" hidden="false" customHeight="false" outlineLevel="0" collapsed="false">
      <c r="A1032" s="0" t="s">
        <v>138</v>
      </c>
      <c r="B1032" s="0" t="s">
        <v>139</v>
      </c>
      <c r="D1032" s="0" t="s">
        <v>6</v>
      </c>
      <c r="E1032" s="0" t="s">
        <v>7</v>
      </c>
      <c r="F1032" s="0" t="s">
        <v>9</v>
      </c>
    </row>
    <row r="1034" customFormat="false" ht="14.65" hidden="false" customHeight="false" outlineLevel="0" collapsed="false">
      <c r="A1034" s="0" t="s">
        <v>140</v>
      </c>
      <c r="B1034" s="0" t="s">
        <v>141</v>
      </c>
      <c r="D1034" s="0" t="n">
        <v>24.091</v>
      </c>
      <c r="E1034" s="0" t="n">
        <v>30.0619</v>
      </c>
      <c r="F1034" s="0" t="n">
        <v>2296</v>
      </c>
    </row>
    <row r="1036" customFormat="false" ht="14.65" hidden="false" customHeight="false" outlineLevel="0" collapsed="false">
      <c r="A1036" s="0" t="s">
        <v>137</v>
      </c>
      <c r="B1036" s="0" t="n">
        <v>1</v>
      </c>
      <c r="D1036" s="0" t="n">
        <v>24.091</v>
      </c>
      <c r="E1036" s="0" t="n">
        <v>30.0619</v>
      </c>
      <c r="F1036" s="0" t="n">
        <v>2296</v>
      </c>
    </row>
    <row r="1038" customFormat="false" ht="14.65" hidden="false" customHeight="false" outlineLevel="0" collapsed="false">
      <c r="A1038" s="0" t="s">
        <v>142</v>
      </c>
      <c r="B1038" s="0" t="n">
        <v>2296</v>
      </c>
    </row>
    <row r="1039" customFormat="false" ht="14.65" hidden="false" customHeight="false" outlineLevel="0" collapsed="false">
      <c r="A1039" s="0" t="s">
        <v>58</v>
      </c>
      <c r="B1039" s="0" t="s">
        <v>59</v>
      </c>
      <c r="C1039" s="0" t="s">
        <v>60</v>
      </c>
      <c r="D1039" s="0" t="s">
        <v>61</v>
      </c>
      <c r="E1039" s="0" t="s">
        <v>62</v>
      </c>
      <c r="F1039" s="0" t="s">
        <v>63</v>
      </c>
    </row>
    <row r="1040" customFormat="false" ht="14.65" hidden="false" customHeight="false" outlineLevel="0" collapsed="false">
      <c r="A1040" s="0" t="s">
        <v>264</v>
      </c>
      <c r="C1040" s="0" t="s">
        <v>45</v>
      </c>
      <c r="F1040" s="34" t="n">
        <v>34011</v>
      </c>
    </row>
    <row r="1042" customFormat="false" ht="14.65" hidden="false" customHeight="false" outlineLevel="0" collapsed="false">
      <c r="A1042" s="0" t="s">
        <v>134</v>
      </c>
      <c r="B1042" s="0" t="s">
        <v>196</v>
      </c>
    </row>
    <row r="1043" customFormat="false" ht="14.65" hidden="false" customHeight="false" outlineLevel="0" collapsed="false">
      <c r="A1043" s="0" t="s">
        <v>136</v>
      </c>
      <c r="B1043" s="0" t="s">
        <v>137</v>
      </c>
    </row>
    <row r="1045" customFormat="false" ht="14.65" hidden="false" customHeight="false" outlineLevel="0" collapsed="false">
      <c r="A1045" s="0" t="s">
        <v>138</v>
      </c>
      <c r="B1045" s="0" t="s">
        <v>139</v>
      </c>
      <c r="D1045" s="0" t="s">
        <v>6</v>
      </c>
      <c r="E1045" s="0" t="s">
        <v>7</v>
      </c>
      <c r="F1045" s="0" t="s">
        <v>9</v>
      </c>
    </row>
    <row r="1047" customFormat="false" ht="14.65" hidden="false" customHeight="false" outlineLevel="0" collapsed="false">
      <c r="A1047" s="0" t="s">
        <v>140</v>
      </c>
      <c r="B1047" s="0" t="s">
        <v>141</v>
      </c>
      <c r="D1047" s="0" t="n">
        <v>1.6564</v>
      </c>
      <c r="E1047" s="0" t="n">
        <v>1.0846</v>
      </c>
      <c r="F1047" s="0" t="n">
        <v>2296</v>
      </c>
    </row>
    <row r="1049" customFormat="false" ht="14.65" hidden="false" customHeight="false" outlineLevel="0" collapsed="false">
      <c r="A1049" s="0" t="s">
        <v>137</v>
      </c>
      <c r="B1049" s="0" t="n">
        <v>1</v>
      </c>
      <c r="D1049" s="0" t="n">
        <v>1.6564</v>
      </c>
      <c r="E1049" s="0" t="n">
        <v>1.0846</v>
      </c>
      <c r="F1049" s="0" t="n">
        <v>2296</v>
      </c>
    </row>
    <row r="1051" customFormat="false" ht="14.65" hidden="false" customHeight="false" outlineLevel="0" collapsed="false">
      <c r="A1051" s="0" t="s">
        <v>142</v>
      </c>
      <c r="B1051" s="0" t="n">
        <v>2296</v>
      </c>
    </row>
    <row r="1052" customFormat="false" ht="14.65" hidden="false" customHeight="false" outlineLevel="0" collapsed="false">
      <c r="A1052" s="0" t="s">
        <v>58</v>
      </c>
      <c r="B1052" s="0" t="s">
        <v>59</v>
      </c>
      <c r="C1052" s="0" t="s">
        <v>60</v>
      </c>
      <c r="D1052" s="0" t="s">
        <v>61</v>
      </c>
      <c r="E1052" s="0" t="s">
        <v>62</v>
      </c>
      <c r="F1052" s="0" t="s">
        <v>63</v>
      </c>
    </row>
    <row r="1053" customFormat="false" ht="14.65" hidden="false" customHeight="false" outlineLevel="0" collapsed="false">
      <c r="A1053" s="0" t="s">
        <v>265</v>
      </c>
      <c r="C1053" s="0" t="s">
        <v>45</v>
      </c>
      <c r="F1053" s="34" t="n">
        <v>34011</v>
      </c>
    </row>
    <row r="1055" customFormat="false" ht="14.65" hidden="false" customHeight="false" outlineLevel="0" collapsed="false">
      <c r="A1055" s="0" t="s">
        <v>65</v>
      </c>
      <c r="B1055" s="0" t="s">
        <v>66</v>
      </c>
      <c r="C1055" s="0" t="s">
        <v>266</v>
      </c>
    </row>
    <row r="1057" customFormat="false" ht="14.65" hidden="false" customHeight="false" outlineLevel="0" collapsed="false">
      <c r="A1057" s="0" t="s">
        <v>267</v>
      </c>
      <c r="B1057" s="0" t="s">
        <v>237</v>
      </c>
    </row>
    <row r="1058" customFormat="false" ht="14.65" hidden="false" customHeight="false" outlineLevel="0" collapsed="false">
      <c r="A1058" s="0" t="s">
        <v>95</v>
      </c>
      <c r="B1058" s="0" t="s">
        <v>268</v>
      </c>
      <c r="C1058" s="0" t="s">
        <v>239</v>
      </c>
    </row>
    <row r="1060" customFormat="false" ht="14.65" hidden="false" customHeight="false" outlineLevel="0" collapsed="false">
      <c r="A1060" s="0" t="s">
        <v>127</v>
      </c>
      <c r="B1060" s="0" t="s">
        <v>128</v>
      </c>
      <c r="C1060" s="0" t="s">
        <v>129</v>
      </c>
      <c r="D1060" s="0" t="s">
        <v>130</v>
      </c>
      <c r="E1060" s="0" t="s">
        <v>131</v>
      </c>
      <c r="F1060" s="0" t="s">
        <v>132</v>
      </c>
    </row>
    <row r="1063" customFormat="false" ht="14.65" hidden="false" customHeight="false" outlineLevel="0" collapsed="false">
      <c r="A1063" s="0" t="s">
        <v>58</v>
      </c>
      <c r="B1063" s="0" t="s">
        <v>59</v>
      </c>
      <c r="C1063" s="0" t="s">
        <v>60</v>
      </c>
      <c r="D1063" s="0" t="s">
        <v>61</v>
      </c>
      <c r="E1063" s="0" t="s">
        <v>62</v>
      </c>
      <c r="F1063" s="0" t="s">
        <v>63</v>
      </c>
    </row>
    <row r="1064" customFormat="false" ht="14.65" hidden="false" customHeight="false" outlineLevel="0" collapsed="false">
      <c r="A1064" s="0" t="s">
        <v>269</v>
      </c>
      <c r="C1064" s="0" t="s">
        <v>45</v>
      </c>
      <c r="F1064" s="34" t="n">
        <v>34011</v>
      </c>
    </row>
    <row r="1066" customFormat="false" ht="14.65" hidden="false" customHeight="false" outlineLevel="0" collapsed="false">
      <c r="A1066" s="0" t="s">
        <v>134</v>
      </c>
      <c r="B1066" s="0" t="s">
        <v>149</v>
      </c>
    </row>
    <row r="1067" customFormat="false" ht="14.65" hidden="false" customHeight="false" outlineLevel="0" collapsed="false">
      <c r="A1067" s="0" t="s">
        <v>136</v>
      </c>
      <c r="B1067" s="0" t="s">
        <v>137</v>
      </c>
    </row>
    <row r="1069" customFormat="false" ht="14.65" hidden="false" customHeight="false" outlineLevel="0" collapsed="false">
      <c r="A1069" s="0" t="s">
        <v>138</v>
      </c>
      <c r="B1069" s="0" t="s">
        <v>139</v>
      </c>
      <c r="D1069" s="0" t="s">
        <v>6</v>
      </c>
      <c r="E1069" s="0" t="s">
        <v>7</v>
      </c>
      <c r="F1069" s="0" t="s">
        <v>9</v>
      </c>
    </row>
    <row r="1071" customFormat="false" ht="14.65" hidden="false" customHeight="false" outlineLevel="0" collapsed="false">
      <c r="A1071" s="0" t="s">
        <v>140</v>
      </c>
      <c r="B1071" s="0" t="s">
        <v>141</v>
      </c>
      <c r="C1071" s="0" t="n">
        <v>2</v>
      </c>
      <c r="D1071" s="0" t="n">
        <v>3.5012</v>
      </c>
      <c r="E1071" s="0" t="n">
        <v>160.708</v>
      </c>
      <c r="F1071" s="0" t="n">
        <v>854</v>
      </c>
    </row>
    <row r="1073" customFormat="false" ht="14.65" hidden="false" customHeight="false" outlineLevel="0" collapsed="false">
      <c r="A1073" s="0" t="s">
        <v>137</v>
      </c>
      <c r="B1073" s="0" t="n">
        <v>1</v>
      </c>
      <c r="C1073" s="0" t="n">
        <v>2</v>
      </c>
      <c r="D1073" s="0" t="n">
        <v>3.5012</v>
      </c>
      <c r="E1073" s="0" t="n">
        <v>160.708</v>
      </c>
      <c r="F1073" s="0" t="n">
        <v>854</v>
      </c>
    </row>
    <row r="1075" customFormat="false" ht="14.65" hidden="false" customHeight="false" outlineLevel="0" collapsed="false">
      <c r="A1075" s="0" t="s">
        <v>142</v>
      </c>
      <c r="B1075" s="0" t="n">
        <v>854</v>
      </c>
    </row>
    <row r="1076" customFormat="false" ht="14.65" hidden="false" customHeight="false" outlineLevel="0" collapsed="false">
      <c r="A1076" s="0" t="s">
        <v>58</v>
      </c>
      <c r="B1076" s="0" t="s">
        <v>59</v>
      </c>
      <c r="C1076" s="0" t="s">
        <v>60</v>
      </c>
      <c r="D1076" s="0" t="s">
        <v>61</v>
      </c>
      <c r="E1076" s="0" t="s">
        <v>62</v>
      </c>
      <c r="F1076" s="0" t="s">
        <v>63</v>
      </c>
    </row>
    <row r="1077" customFormat="false" ht="14.65" hidden="false" customHeight="false" outlineLevel="0" collapsed="false">
      <c r="A1077" s="0" t="s">
        <v>270</v>
      </c>
      <c r="C1077" s="0" t="s">
        <v>45</v>
      </c>
      <c r="F1077" s="34" t="n">
        <v>34011</v>
      </c>
    </row>
    <row r="1079" customFormat="false" ht="14.65" hidden="false" customHeight="false" outlineLevel="0" collapsed="false">
      <c r="A1079" s="0" t="s">
        <v>134</v>
      </c>
      <c r="B1079" s="0" t="s">
        <v>174</v>
      </c>
    </row>
    <row r="1080" customFormat="false" ht="14.65" hidden="false" customHeight="false" outlineLevel="0" collapsed="false">
      <c r="A1080" s="0" t="s">
        <v>136</v>
      </c>
      <c r="B1080" s="0" t="s">
        <v>137</v>
      </c>
    </row>
    <row r="1082" customFormat="false" ht="14.65" hidden="false" customHeight="false" outlineLevel="0" collapsed="false">
      <c r="A1082" s="0" t="s">
        <v>138</v>
      </c>
      <c r="B1082" s="0" t="s">
        <v>139</v>
      </c>
      <c r="D1082" s="0" t="s">
        <v>6</v>
      </c>
      <c r="E1082" s="0" t="s">
        <v>7</v>
      </c>
      <c r="F1082" s="0" t="s">
        <v>9</v>
      </c>
    </row>
    <row r="1084" customFormat="false" ht="14.65" hidden="false" customHeight="false" outlineLevel="0" collapsed="false">
      <c r="A1084" s="0" t="s">
        <v>140</v>
      </c>
      <c r="B1084" s="0" t="s">
        <v>141</v>
      </c>
      <c r="D1084" s="0" t="n">
        <v>17.8642</v>
      </c>
      <c r="E1084" s="0" t="n">
        <v>14.3314</v>
      </c>
      <c r="F1084" s="0" t="n">
        <v>854</v>
      </c>
    </row>
    <row r="1086" customFormat="false" ht="14.65" hidden="false" customHeight="false" outlineLevel="0" collapsed="false">
      <c r="A1086" s="0" t="s">
        <v>137</v>
      </c>
      <c r="B1086" s="0" t="n">
        <v>1</v>
      </c>
      <c r="D1086" s="0" t="n">
        <v>17.8642</v>
      </c>
      <c r="E1086" s="0" t="n">
        <v>14.3314</v>
      </c>
      <c r="F1086" s="0" t="n">
        <v>854</v>
      </c>
    </row>
    <row r="1088" customFormat="false" ht="14.65" hidden="false" customHeight="false" outlineLevel="0" collapsed="false">
      <c r="A1088" s="0" t="s">
        <v>142</v>
      </c>
      <c r="B1088" s="0" t="n">
        <v>854</v>
      </c>
    </row>
    <row r="1089" customFormat="false" ht="14.65" hidden="false" customHeight="false" outlineLevel="0" collapsed="false">
      <c r="A1089" s="0" t="s">
        <v>58</v>
      </c>
      <c r="B1089" s="0" t="s">
        <v>59</v>
      </c>
      <c r="C1089" s="0" t="s">
        <v>60</v>
      </c>
      <c r="D1089" s="0" t="s">
        <v>61</v>
      </c>
      <c r="E1089" s="0" t="s">
        <v>62</v>
      </c>
      <c r="F1089" s="0" t="s">
        <v>63</v>
      </c>
    </row>
    <row r="1090" customFormat="false" ht="14.65" hidden="false" customHeight="false" outlineLevel="0" collapsed="false">
      <c r="A1090" s="0" t="s">
        <v>271</v>
      </c>
      <c r="C1090" s="0" t="s">
        <v>45</v>
      </c>
      <c r="F1090" s="34" t="n">
        <v>34011</v>
      </c>
    </row>
    <row r="1092" customFormat="false" ht="14.65" hidden="false" customHeight="false" outlineLevel="0" collapsed="false">
      <c r="A1092" s="0" t="s">
        <v>134</v>
      </c>
      <c r="B1092" s="0" t="s">
        <v>198</v>
      </c>
    </row>
    <row r="1093" customFormat="false" ht="14.65" hidden="false" customHeight="false" outlineLevel="0" collapsed="false">
      <c r="A1093" s="0" t="s">
        <v>136</v>
      </c>
      <c r="B1093" s="0" t="s">
        <v>137</v>
      </c>
    </row>
    <row r="1095" customFormat="false" ht="14.65" hidden="false" customHeight="false" outlineLevel="0" collapsed="false">
      <c r="A1095" s="0" t="s">
        <v>138</v>
      </c>
      <c r="B1095" s="0" t="s">
        <v>139</v>
      </c>
      <c r="D1095" s="0" t="s">
        <v>6</v>
      </c>
      <c r="E1095" s="0" t="s">
        <v>7</v>
      </c>
      <c r="F1095" s="0" t="s">
        <v>9</v>
      </c>
    </row>
    <row r="1097" customFormat="false" ht="14.65" hidden="false" customHeight="false" outlineLevel="0" collapsed="false">
      <c r="A1097" s="0" t="s">
        <v>140</v>
      </c>
      <c r="B1097" s="0" t="s">
        <v>141</v>
      </c>
      <c r="D1097" s="0" t="n">
        <v>1.1686</v>
      </c>
      <c r="E1097" s="0" t="n">
        <v>0.4564</v>
      </c>
      <c r="F1097" s="0" t="n">
        <v>854</v>
      </c>
    </row>
    <row r="1099" customFormat="false" ht="14.65" hidden="false" customHeight="false" outlineLevel="0" collapsed="false">
      <c r="A1099" s="0" t="s">
        <v>137</v>
      </c>
      <c r="B1099" s="0" t="n">
        <v>1</v>
      </c>
      <c r="D1099" s="0" t="n">
        <v>1.1686</v>
      </c>
      <c r="E1099" s="0" t="n">
        <v>0.4564</v>
      </c>
      <c r="F1099" s="0" t="n">
        <v>854</v>
      </c>
    </row>
    <row r="1101" customFormat="false" ht="14.65" hidden="false" customHeight="false" outlineLevel="0" collapsed="false">
      <c r="A1101" s="0" t="s">
        <v>142</v>
      </c>
      <c r="B1101" s="0" t="n">
        <v>854</v>
      </c>
    </row>
    <row r="1102" customFormat="false" ht="14.65" hidden="false" customHeight="false" outlineLevel="0" collapsed="false">
      <c r="A1102" s="0" t="s">
        <v>58</v>
      </c>
      <c r="B1102" s="0" t="s">
        <v>59</v>
      </c>
      <c r="C1102" s="0" t="s">
        <v>60</v>
      </c>
      <c r="D1102" s="0" t="s">
        <v>61</v>
      </c>
      <c r="E1102" s="0" t="s">
        <v>62</v>
      </c>
      <c r="F1102" s="0" t="s">
        <v>63</v>
      </c>
    </row>
    <row r="1103" customFormat="false" ht="14.65" hidden="false" customHeight="false" outlineLevel="0" collapsed="false">
      <c r="A1103" s="0" t="s">
        <v>272</v>
      </c>
      <c r="C1103" s="0" t="s">
        <v>45</v>
      </c>
      <c r="F1103" s="34" t="n">
        <v>34011</v>
      </c>
    </row>
    <row r="1105" customFormat="false" ht="14.65" hidden="false" customHeight="false" outlineLevel="0" collapsed="false">
      <c r="A1105" s="0" t="s">
        <v>65</v>
      </c>
      <c r="B1105" s="0" t="s">
        <v>66</v>
      </c>
      <c r="C1105" s="0" t="s">
        <v>273</v>
      </c>
    </row>
    <row r="1107" customFormat="false" ht="14.65" hidden="false" customHeight="false" outlineLevel="0" collapsed="false">
      <c r="A1107" s="0" t="s">
        <v>274</v>
      </c>
      <c r="B1107" s="0" t="s">
        <v>237</v>
      </c>
    </row>
    <row r="1108" customFormat="false" ht="14.65" hidden="false" customHeight="false" outlineLevel="0" collapsed="false">
      <c r="A1108" s="0" t="s">
        <v>95</v>
      </c>
      <c r="B1108" s="0" t="s">
        <v>275</v>
      </c>
      <c r="C1108" s="0" t="s">
        <v>239</v>
      </c>
    </row>
    <row r="1110" customFormat="false" ht="14.65" hidden="false" customHeight="false" outlineLevel="0" collapsed="false">
      <c r="A1110" s="0" t="s">
        <v>127</v>
      </c>
      <c r="B1110" s="0" t="s">
        <v>128</v>
      </c>
      <c r="C1110" s="0" t="s">
        <v>129</v>
      </c>
      <c r="D1110" s="0" t="s">
        <v>130</v>
      </c>
      <c r="E1110" s="0" t="s">
        <v>131</v>
      </c>
      <c r="F1110" s="0" t="s">
        <v>132</v>
      </c>
    </row>
    <row r="1113" customFormat="false" ht="14.65" hidden="false" customHeight="false" outlineLevel="0" collapsed="false">
      <c r="A1113" s="0" t="s">
        <v>58</v>
      </c>
      <c r="B1113" s="0" t="s">
        <v>59</v>
      </c>
      <c r="C1113" s="0" t="s">
        <v>60</v>
      </c>
      <c r="D1113" s="0" t="s">
        <v>61</v>
      </c>
      <c r="E1113" s="0" t="s">
        <v>62</v>
      </c>
      <c r="F1113" s="0" t="s">
        <v>63</v>
      </c>
    </row>
    <row r="1114" customFormat="false" ht="14.65" hidden="false" customHeight="false" outlineLevel="0" collapsed="false">
      <c r="A1114" s="0" t="s">
        <v>276</v>
      </c>
      <c r="C1114" s="0" t="s">
        <v>45</v>
      </c>
      <c r="F1114" s="34" t="n">
        <v>34011</v>
      </c>
    </row>
    <row r="1116" customFormat="false" ht="14.65" hidden="false" customHeight="false" outlineLevel="0" collapsed="false">
      <c r="A1116" s="0" t="s">
        <v>134</v>
      </c>
      <c r="B1116" s="0" t="s">
        <v>151</v>
      </c>
    </row>
    <row r="1117" customFormat="false" ht="14.65" hidden="false" customHeight="false" outlineLevel="0" collapsed="false">
      <c r="A1117" s="0" t="s">
        <v>136</v>
      </c>
      <c r="B1117" s="0" t="s">
        <v>137</v>
      </c>
    </row>
    <row r="1119" customFormat="false" ht="14.65" hidden="false" customHeight="false" outlineLevel="0" collapsed="false">
      <c r="A1119" s="0" t="s">
        <v>138</v>
      </c>
      <c r="B1119" s="0" t="s">
        <v>139</v>
      </c>
      <c r="D1119" s="0" t="s">
        <v>6</v>
      </c>
      <c r="E1119" s="0" t="s">
        <v>7</v>
      </c>
      <c r="F1119" s="0" t="s">
        <v>9</v>
      </c>
    </row>
    <row r="1121" customFormat="false" ht="14.65" hidden="false" customHeight="false" outlineLevel="0" collapsed="false">
      <c r="A1121" s="0" t="s">
        <v>140</v>
      </c>
      <c r="B1121" s="0" t="s">
        <v>141</v>
      </c>
      <c r="D1121" s="0" t="n">
        <v>85.1198</v>
      </c>
      <c r="E1121" s="0" t="n">
        <v>73.3147</v>
      </c>
      <c r="F1121" s="0" t="n">
        <v>167</v>
      </c>
    </row>
    <row r="1123" customFormat="false" ht="14.65" hidden="false" customHeight="false" outlineLevel="0" collapsed="false">
      <c r="A1123" s="0" t="s">
        <v>137</v>
      </c>
      <c r="B1123" s="0" t="n">
        <v>1</v>
      </c>
      <c r="D1123" s="0" t="n">
        <v>85.1198</v>
      </c>
      <c r="E1123" s="0" t="n">
        <v>73.3147</v>
      </c>
      <c r="F1123" s="0" t="n">
        <v>167</v>
      </c>
    </row>
    <row r="1125" customFormat="false" ht="14.65" hidden="false" customHeight="false" outlineLevel="0" collapsed="false">
      <c r="A1125" s="0" t="s">
        <v>142</v>
      </c>
      <c r="B1125" s="0" t="n">
        <v>167</v>
      </c>
    </row>
    <row r="1126" customFormat="false" ht="14.65" hidden="false" customHeight="false" outlineLevel="0" collapsed="false">
      <c r="A1126" s="0" t="s">
        <v>58</v>
      </c>
      <c r="B1126" s="0" t="s">
        <v>59</v>
      </c>
      <c r="C1126" s="0" t="s">
        <v>60</v>
      </c>
      <c r="D1126" s="0" t="s">
        <v>61</v>
      </c>
      <c r="E1126" s="0" t="s">
        <v>62</v>
      </c>
      <c r="F1126" s="0" t="s">
        <v>63</v>
      </c>
    </row>
    <row r="1127" customFormat="false" ht="14.65" hidden="false" customHeight="false" outlineLevel="0" collapsed="false">
      <c r="A1127" s="0" t="s">
        <v>277</v>
      </c>
      <c r="C1127" s="0" t="s">
        <v>45</v>
      </c>
      <c r="F1127" s="34" t="n">
        <v>34011</v>
      </c>
    </row>
    <row r="1129" customFormat="false" ht="14.65" hidden="false" customHeight="false" outlineLevel="0" collapsed="false">
      <c r="A1129" s="0" t="s">
        <v>134</v>
      </c>
      <c r="B1129" s="0" t="s">
        <v>176</v>
      </c>
    </row>
    <row r="1130" customFormat="false" ht="14.65" hidden="false" customHeight="false" outlineLevel="0" collapsed="false">
      <c r="A1130" s="0" t="s">
        <v>136</v>
      </c>
      <c r="B1130" s="0" t="s">
        <v>137</v>
      </c>
    </row>
    <row r="1132" customFormat="false" ht="14.65" hidden="false" customHeight="false" outlineLevel="0" collapsed="false">
      <c r="A1132" s="0" t="s">
        <v>138</v>
      </c>
      <c r="B1132" s="0" t="s">
        <v>139</v>
      </c>
      <c r="D1132" s="0" t="s">
        <v>6</v>
      </c>
      <c r="E1132" s="0" t="s">
        <v>7</v>
      </c>
      <c r="F1132" s="0" t="s">
        <v>9</v>
      </c>
    </row>
    <row r="1134" customFormat="false" ht="14.65" hidden="false" customHeight="false" outlineLevel="0" collapsed="false">
      <c r="A1134" s="0" t="s">
        <v>140</v>
      </c>
      <c r="B1134" s="0" t="s">
        <v>141</v>
      </c>
      <c r="D1134" s="0" t="n">
        <v>19.0659</v>
      </c>
      <c r="E1134" s="0" t="n">
        <v>11.9629</v>
      </c>
      <c r="F1134" s="0" t="n">
        <v>167</v>
      </c>
    </row>
    <row r="1136" customFormat="false" ht="14.65" hidden="false" customHeight="false" outlineLevel="0" collapsed="false">
      <c r="A1136" s="0" t="s">
        <v>137</v>
      </c>
      <c r="B1136" s="0" t="n">
        <v>1</v>
      </c>
      <c r="D1136" s="0" t="n">
        <v>19.0659</v>
      </c>
      <c r="E1136" s="0" t="n">
        <v>11.9629</v>
      </c>
      <c r="F1136" s="0" t="n">
        <v>167</v>
      </c>
    </row>
    <row r="1138" customFormat="false" ht="14.65" hidden="false" customHeight="false" outlineLevel="0" collapsed="false">
      <c r="A1138" s="0" t="s">
        <v>142</v>
      </c>
      <c r="B1138" s="0" t="n">
        <v>167</v>
      </c>
    </row>
    <row r="1139" customFormat="false" ht="14.65" hidden="false" customHeight="false" outlineLevel="0" collapsed="false">
      <c r="A1139" s="0" t="s">
        <v>58</v>
      </c>
      <c r="B1139" s="0" t="s">
        <v>59</v>
      </c>
      <c r="C1139" s="0" t="s">
        <v>60</v>
      </c>
      <c r="D1139" s="0" t="s">
        <v>61</v>
      </c>
      <c r="E1139" s="0" t="s">
        <v>62</v>
      </c>
      <c r="F1139" s="0" t="s">
        <v>63</v>
      </c>
    </row>
    <row r="1140" customFormat="false" ht="14.65" hidden="false" customHeight="false" outlineLevel="0" collapsed="false">
      <c r="A1140" s="0" t="s">
        <v>278</v>
      </c>
      <c r="C1140" s="0" t="s">
        <v>45</v>
      </c>
      <c r="F1140" s="34" t="n">
        <v>34011</v>
      </c>
    </row>
    <row r="1142" customFormat="false" ht="14.65" hidden="false" customHeight="false" outlineLevel="0" collapsed="false">
      <c r="A1142" s="0" t="s">
        <v>134</v>
      </c>
      <c r="B1142" s="0" t="s">
        <v>200</v>
      </c>
    </row>
    <row r="1143" customFormat="false" ht="14.65" hidden="false" customHeight="false" outlineLevel="0" collapsed="false">
      <c r="A1143" s="0" t="s">
        <v>136</v>
      </c>
      <c r="B1143" s="0" t="s">
        <v>137</v>
      </c>
    </row>
    <row r="1145" customFormat="false" ht="14.65" hidden="false" customHeight="false" outlineLevel="0" collapsed="false">
      <c r="A1145" s="0" t="s">
        <v>138</v>
      </c>
      <c r="B1145" s="0" t="s">
        <v>139</v>
      </c>
      <c r="D1145" s="0" t="s">
        <v>6</v>
      </c>
      <c r="E1145" s="0" t="s">
        <v>7</v>
      </c>
      <c r="F1145" s="0" t="s">
        <v>9</v>
      </c>
    </row>
    <row r="1147" customFormat="false" ht="14.65" hidden="false" customHeight="false" outlineLevel="0" collapsed="false">
      <c r="A1147" s="0" t="s">
        <v>140</v>
      </c>
      <c r="B1147" s="0" t="s">
        <v>141</v>
      </c>
      <c r="D1147" s="0" t="n">
        <v>1.0719</v>
      </c>
      <c r="E1147" s="0" t="n">
        <v>0.259</v>
      </c>
      <c r="F1147" s="0" t="n">
        <v>167</v>
      </c>
    </row>
    <row r="1149" customFormat="false" ht="14.65" hidden="false" customHeight="false" outlineLevel="0" collapsed="false">
      <c r="A1149" s="0" t="s">
        <v>137</v>
      </c>
      <c r="B1149" s="0" t="n">
        <v>1</v>
      </c>
      <c r="D1149" s="0" t="n">
        <v>1.0719</v>
      </c>
      <c r="E1149" s="0" t="n">
        <v>0.259</v>
      </c>
      <c r="F1149" s="0" t="n">
        <v>167</v>
      </c>
    </row>
    <row r="1151" customFormat="false" ht="14.65" hidden="false" customHeight="false" outlineLevel="0" collapsed="false">
      <c r="A1151" s="0" t="s">
        <v>142</v>
      </c>
      <c r="B1151" s="0" t="n">
        <v>167</v>
      </c>
    </row>
    <row r="1152" customFormat="false" ht="14.65" hidden="false" customHeight="false" outlineLevel="0" collapsed="false">
      <c r="A1152" s="0" t="s">
        <v>58</v>
      </c>
      <c r="B1152" s="0" t="s">
        <v>59</v>
      </c>
      <c r="C1152" s="0" t="s">
        <v>60</v>
      </c>
      <c r="D1152" s="0" t="s">
        <v>61</v>
      </c>
      <c r="E1152" s="0" t="s">
        <v>62</v>
      </c>
      <c r="F1152" s="0" t="s">
        <v>63</v>
      </c>
    </row>
    <row r="1153" customFormat="false" ht="14.65" hidden="false" customHeight="false" outlineLevel="0" collapsed="false">
      <c r="A1153" s="0" t="s">
        <v>279</v>
      </c>
      <c r="C1153" s="0" t="s">
        <v>45</v>
      </c>
      <c r="F1153" s="34" t="n">
        <v>34011</v>
      </c>
    </row>
    <row r="1155" customFormat="false" ht="14.65" hidden="false" customHeight="false" outlineLevel="0" collapsed="false">
      <c r="A1155" s="0" t="s">
        <v>65</v>
      </c>
      <c r="B1155" s="0" t="s">
        <v>66</v>
      </c>
      <c r="C1155" s="0" t="s">
        <v>280</v>
      </c>
    </row>
    <row r="1157" customFormat="false" ht="14.65" hidden="false" customHeight="false" outlineLevel="0" collapsed="false">
      <c r="A1157" s="0" t="s">
        <v>281</v>
      </c>
      <c r="B1157" s="0" t="s">
        <v>237</v>
      </c>
    </row>
    <row r="1158" customFormat="false" ht="14.65" hidden="false" customHeight="false" outlineLevel="0" collapsed="false">
      <c r="A1158" s="0" t="s">
        <v>95</v>
      </c>
      <c r="B1158" s="0" t="s">
        <v>282</v>
      </c>
      <c r="C1158" s="0" t="s">
        <v>239</v>
      </c>
    </row>
    <row r="1160" customFormat="false" ht="14.65" hidden="false" customHeight="false" outlineLevel="0" collapsed="false">
      <c r="A1160" s="0" t="s">
        <v>127</v>
      </c>
      <c r="B1160" s="0" t="s">
        <v>128</v>
      </c>
      <c r="C1160" s="0" t="s">
        <v>129</v>
      </c>
      <c r="D1160" s="0" t="s">
        <v>130</v>
      </c>
      <c r="E1160" s="0" t="s">
        <v>131</v>
      </c>
      <c r="F1160" s="0" t="s">
        <v>132</v>
      </c>
    </row>
    <row r="1163" customFormat="false" ht="14.65" hidden="false" customHeight="false" outlineLevel="0" collapsed="false">
      <c r="A1163" s="0" t="s">
        <v>58</v>
      </c>
      <c r="B1163" s="0" t="s">
        <v>59</v>
      </c>
      <c r="C1163" s="0" t="s">
        <v>60</v>
      </c>
      <c r="D1163" s="0" t="s">
        <v>61</v>
      </c>
      <c r="E1163" s="0" t="s">
        <v>62</v>
      </c>
      <c r="F1163" s="0" t="s">
        <v>63</v>
      </c>
    </row>
    <row r="1164" customFormat="false" ht="14.65" hidden="false" customHeight="false" outlineLevel="0" collapsed="false">
      <c r="A1164" s="0" t="s">
        <v>283</v>
      </c>
      <c r="C1164" s="0" t="s">
        <v>45</v>
      </c>
      <c r="F1164" s="34" t="n">
        <v>34011</v>
      </c>
    </row>
    <row r="1166" customFormat="false" ht="14.65" hidden="false" customHeight="false" outlineLevel="0" collapsed="false">
      <c r="A1166" s="0" t="s">
        <v>134</v>
      </c>
      <c r="B1166" s="0" t="s">
        <v>153</v>
      </c>
    </row>
    <row r="1167" customFormat="false" ht="14.65" hidden="false" customHeight="false" outlineLevel="0" collapsed="false">
      <c r="A1167" s="0" t="s">
        <v>136</v>
      </c>
      <c r="B1167" s="0" t="s">
        <v>137</v>
      </c>
    </row>
    <row r="1169" customFormat="false" ht="14.65" hidden="false" customHeight="false" outlineLevel="0" collapsed="false">
      <c r="A1169" s="0" t="s">
        <v>138</v>
      </c>
      <c r="B1169" s="0" t="s">
        <v>139</v>
      </c>
      <c r="D1169" s="0" t="s">
        <v>6</v>
      </c>
      <c r="E1169" s="0" t="s">
        <v>7</v>
      </c>
      <c r="F1169" s="0" t="s">
        <v>9</v>
      </c>
    </row>
    <row r="1171" customFormat="false" ht="14.65" hidden="false" customHeight="false" outlineLevel="0" collapsed="false">
      <c r="A1171" s="0" t="s">
        <v>140</v>
      </c>
      <c r="B1171" s="0" t="s">
        <v>141</v>
      </c>
      <c r="C1171" s="0" t="n">
        <v>1</v>
      </c>
      <c r="D1171" s="0" t="n">
        <v>77.9992</v>
      </c>
      <c r="E1171" s="0" t="n">
        <v>147.8996</v>
      </c>
      <c r="F1171" s="0" t="n">
        <v>1224</v>
      </c>
    </row>
    <row r="1173" customFormat="false" ht="14.65" hidden="false" customHeight="false" outlineLevel="0" collapsed="false">
      <c r="A1173" s="0" t="s">
        <v>137</v>
      </c>
      <c r="B1173" s="0" t="n">
        <v>1</v>
      </c>
      <c r="C1173" s="0" t="n">
        <v>1</v>
      </c>
      <c r="D1173" s="0" t="n">
        <v>77.9992</v>
      </c>
      <c r="E1173" s="0" t="n">
        <v>147.8996</v>
      </c>
      <c r="F1173" s="0" t="n">
        <v>1224</v>
      </c>
    </row>
    <row r="1175" customFormat="false" ht="14.65" hidden="false" customHeight="false" outlineLevel="0" collapsed="false">
      <c r="A1175" s="0" t="s">
        <v>142</v>
      </c>
      <c r="B1175" s="0" t="n">
        <v>1224</v>
      </c>
    </row>
    <row r="1176" customFormat="false" ht="14.65" hidden="false" customHeight="false" outlineLevel="0" collapsed="false">
      <c r="A1176" s="0" t="s">
        <v>58</v>
      </c>
      <c r="B1176" s="0" t="s">
        <v>59</v>
      </c>
      <c r="C1176" s="0" t="s">
        <v>60</v>
      </c>
      <c r="D1176" s="0" t="s">
        <v>61</v>
      </c>
      <c r="E1176" s="0" t="s">
        <v>62</v>
      </c>
      <c r="F1176" s="0" t="s">
        <v>63</v>
      </c>
    </row>
    <row r="1177" customFormat="false" ht="14.65" hidden="false" customHeight="false" outlineLevel="0" collapsed="false">
      <c r="A1177" s="0" t="s">
        <v>284</v>
      </c>
      <c r="C1177" s="0" t="s">
        <v>45</v>
      </c>
      <c r="F1177" s="34" t="n">
        <v>34011</v>
      </c>
    </row>
    <row r="1179" customFormat="false" ht="14.65" hidden="false" customHeight="false" outlineLevel="0" collapsed="false">
      <c r="A1179" s="0" t="s">
        <v>134</v>
      </c>
      <c r="B1179" s="0" t="s">
        <v>178</v>
      </c>
    </row>
    <row r="1180" customFormat="false" ht="14.65" hidden="false" customHeight="false" outlineLevel="0" collapsed="false">
      <c r="A1180" s="0" t="s">
        <v>136</v>
      </c>
      <c r="B1180" s="0" t="s">
        <v>137</v>
      </c>
    </row>
    <row r="1182" customFormat="false" ht="14.65" hidden="false" customHeight="false" outlineLevel="0" collapsed="false">
      <c r="A1182" s="0" t="s">
        <v>138</v>
      </c>
      <c r="B1182" s="0" t="s">
        <v>139</v>
      </c>
      <c r="D1182" s="0" t="s">
        <v>6</v>
      </c>
      <c r="E1182" s="0" t="s">
        <v>7</v>
      </c>
      <c r="F1182" s="0" t="s">
        <v>9</v>
      </c>
    </row>
    <row r="1184" customFormat="false" ht="14.65" hidden="false" customHeight="false" outlineLevel="0" collapsed="false">
      <c r="A1184" s="0" t="s">
        <v>140</v>
      </c>
      <c r="B1184" s="0" t="s">
        <v>141</v>
      </c>
      <c r="D1184" s="0" t="n">
        <v>23.2312</v>
      </c>
      <c r="E1184" s="0" t="n">
        <v>24.5654</v>
      </c>
      <c r="F1184" s="0" t="n">
        <v>1224</v>
      </c>
    </row>
    <row r="1186" customFormat="false" ht="14.65" hidden="false" customHeight="false" outlineLevel="0" collapsed="false">
      <c r="A1186" s="0" t="s">
        <v>137</v>
      </c>
      <c r="B1186" s="0" t="n">
        <v>1</v>
      </c>
      <c r="D1186" s="0" t="n">
        <v>23.2312</v>
      </c>
      <c r="E1186" s="0" t="n">
        <v>24.5654</v>
      </c>
      <c r="F1186" s="0" t="n">
        <v>1224</v>
      </c>
    </row>
    <row r="1188" customFormat="false" ht="14.65" hidden="false" customHeight="false" outlineLevel="0" collapsed="false">
      <c r="A1188" s="0" t="s">
        <v>142</v>
      </c>
      <c r="B1188" s="0" t="n">
        <v>1224</v>
      </c>
    </row>
    <row r="1189" customFormat="false" ht="14.65" hidden="false" customHeight="false" outlineLevel="0" collapsed="false">
      <c r="A1189" s="0" t="s">
        <v>58</v>
      </c>
      <c r="B1189" s="0" t="s">
        <v>59</v>
      </c>
      <c r="C1189" s="0" t="s">
        <v>60</v>
      </c>
      <c r="D1189" s="0" t="s">
        <v>61</v>
      </c>
      <c r="E1189" s="0" t="s">
        <v>62</v>
      </c>
      <c r="F1189" s="0" t="s">
        <v>63</v>
      </c>
    </row>
    <row r="1190" customFormat="false" ht="14.65" hidden="false" customHeight="false" outlineLevel="0" collapsed="false">
      <c r="A1190" s="0" t="s">
        <v>285</v>
      </c>
      <c r="C1190" s="0" t="s">
        <v>45</v>
      </c>
      <c r="F1190" s="34" t="n">
        <v>34011</v>
      </c>
    </row>
    <row r="1192" customFormat="false" ht="14.65" hidden="false" customHeight="false" outlineLevel="0" collapsed="false">
      <c r="A1192" s="0" t="s">
        <v>134</v>
      </c>
      <c r="B1192" s="0" t="s">
        <v>202</v>
      </c>
    </row>
    <row r="1193" customFormat="false" ht="14.65" hidden="false" customHeight="false" outlineLevel="0" collapsed="false">
      <c r="A1193" s="0" t="s">
        <v>136</v>
      </c>
      <c r="B1193" s="0" t="s">
        <v>137</v>
      </c>
    </row>
    <row r="1195" customFormat="false" ht="14.65" hidden="false" customHeight="false" outlineLevel="0" collapsed="false">
      <c r="A1195" s="0" t="s">
        <v>138</v>
      </c>
      <c r="B1195" s="0" t="s">
        <v>139</v>
      </c>
      <c r="D1195" s="0" t="s">
        <v>6</v>
      </c>
      <c r="E1195" s="0" t="s">
        <v>7</v>
      </c>
      <c r="F1195" s="0" t="s">
        <v>9</v>
      </c>
    </row>
    <row r="1197" customFormat="false" ht="14.65" hidden="false" customHeight="false" outlineLevel="0" collapsed="false">
      <c r="A1197" s="0" t="s">
        <v>140</v>
      </c>
      <c r="B1197" s="0" t="s">
        <v>141</v>
      </c>
      <c r="D1197" s="0" t="n">
        <v>1.2598</v>
      </c>
      <c r="E1197" s="0" t="n">
        <v>0.6035</v>
      </c>
      <c r="F1197" s="0" t="n">
        <v>1224</v>
      </c>
    </row>
    <row r="1199" customFormat="false" ht="14.65" hidden="false" customHeight="false" outlineLevel="0" collapsed="false">
      <c r="A1199" s="0" t="s">
        <v>137</v>
      </c>
      <c r="B1199" s="0" t="n">
        <v>1</v>
      </c>
      <c r="D1199" s="0" t="n">
        <v>1.2598</v>
      </c>
      <c r="E1199" s="0" t="n">
        <v>0.6035</v>
      </c>
      <c r="F1199" s="0" t="n">
        <v>1224</v>
      </c>
    </row>
    <row r="1201" customFormat="false" ht="14.65" hidden="false" customHeight="false" outlineLevel="0" collapsed="false">
      <c r="A1201" s="0" t="s">
        <v>142</v>
      </c>
      <c r="B1201" s="0" t="n">
        <v>1224</v>
      </c>
    </row>
    <row r="1202" customFormat="false" ht="14.65" hidden="false" customHeight="false" outlineLevel="0" collapsed="false">
      <c r="A1202" s="0" t="s">
        <v>58</v>
      </c>
      <c r="B1202" s="0" t="s">
        <v>59</v>
      </c>
      <c r="C1202" s="0" t="s">
        <v>60</v>
      </c>
      <c r="D1202" s="0" t="s">
        <v>61</v>
      </c>
      <c r="E1202" s="0" t="s">
        <v>62</v>
      </c>
      <c r="F1202" s="0" t="s">
        <v>63</v>
      </c>
    </row>
    <row r="1203" customFormat="false" ht="14.65" hidden="false" customHeight="false" outlineLevel="0" collapsed="false">
      <c r="A1203" s="0" t="s">
        <v>286</v>
      </c>
      <c r="C1203" s="0" t="s">
        <v>45</v>
      </c>
      <c r="F1203" s="34" t="n">
        <v>34011</v>
      </c>
    </row>
    <row r="1205" customFormat="false" ht="14.65" hidden="false" customHeight="false" outlineLevel="0" collapsed="false">
      <c r="A1205" s="0" t="s">
        <v>65</v>
      </c>
      <c r="B1205" s="0" t="s">
        <v>66</v>
      </c>
      <c r="C1205" s="0" t="s">
        <v>287</v>
      </c>
    </row>
    <row r="1207" customFormat="false" ht="14.65" hidden="false" customHeight="false" outlineLevel="0" collapsed="false">
      <c r="A1207" s="0" t="s">
        <v>288</v>
      </c>
      <c r="B1207" s="0" t="s">
        <v>289</v>
      </c>
    </row>
    <row r="1208" customFormat="false" ht="14.65" hidden="false" customHeight="false" outlineLevel="0" collapsed="false">
      <c r="A1208" s="0" t="s">
        <v>95</v>
      </c>
      <c r="B1208" s="0" t="s">
        <v>290</v>
      </c>
      <c r="C1208" s="0" t="s">
        <v>291</v>
      </c>
    </row>
    <row r="1210" customFormat="false" ht="14.65" hidden="false" customHeight="false" outlineLevel="0" collapsed="false">
      <c r="A1210" s="0" t="s">
        <v>127</v>
      </c>
      <c r="B1210" s="0" t="s">
        <v>128</v>
      </c>
      <c r="C1210" s="0" t="s">
        <v>129</v>
      </c>
      <c r="D1210" s="0" t="s">
        <v>130</v>
      </c>
      <c r="E1210" s="0" t="s">
        <v>131</v>
      </c>
      <c r="F1210" s="0" t="s">
        <v>132</v>
      </c>
    </row>
    <row r="1213" customFormat="false" ht="14.65" hidden="false" customHeight="false" outlineLevel="0" collapsed="false">
      <c r="A1213" s="0" t="s">
        <v>58</v>
      </c>
      <c r="B1213" s="0" t="s">
        <v>59</v>
      </c>
      <c r="C1213" s="0" t="s">
        <v>60</v>
      </c>
      <c r="D1213" s="0" t="s">
        <v>61</v>
      </c>
      <c r="E1213" s="0" t="s">
        <v>62</v>
      </c>
      <c r="F1213" s="0" t="s">
        <v>63</v>
      </c>
    </row>
    <row r="1214" customFormat="false" ht="14.65" hidden="false" customHeight="false" outlineLevel="0" collapsed="false">
      <c r="A1214" s="0" t="s">
        <v>292</v>
      </c>
      <c r="C1214" s="0" t="s">
        <v>45</v>
      </c>
      <c r="F1214" s="34" t="n">
        <v>34011</v>
      </c>
    </row>
    <row r="1216" customFormat="false" ht="14.65" hidden="false" customHeight="false" outlineLevel="0" collapsed="false">
      <c r="A1216" s="0" t="s">
        <v>134</v>
      </c>
      <c r="B1216" s="0" t="s">
        <v>155</v>
      </c>
    </row>
    <row r="1217" customFormat="false" ht="14.65" hidden="false" customHeight="false" outlineLevel="0" collapsed="false">
      <c r="A1217" s="0" t="s">
        <v>136</v>
      </c>
      <c r="B1217" s="0" t="s">
        <v>137</v>
      </c>
    </row>
    <row r="1219" customFormat="false" ht="14.65" hidden="false" customHeight="false" outlineLevel="0" collapsed="false">
      <c r="A1219" s="0" t="s">
        <v>138</v>
      </c>
      <c r="B1219" s="0" t="s">
        <v>139</v>
      </c>
      <c r="D1219" s="0" t="s">
        <v>6</v>
      </c>
      <c r="E1219" s="0" t="s">
        <v>7</v>
      </c>
      <c r="F1219" s="0" t="s">
        <v>9</v>
      </c>
    </row>
    <row r="1221" customFormat="false" ht="14.65" hidden="false" customHeight="false" outlineLevel="0" collapsed="false">
      <c r="A1221" s="0" t="s">
        <v>140</v>
      </c>
      <c r="B1221" s="0" t="s">
        <v>141</v>
      </c>
      <c r="C1221" s="0" t="n">
        <v>1</v>
      </c>
      <c r="D1221" s="0" t="n">
        <v>50.3582</v>
      </c>
      <c r="E1221" s="0" t="n">
        <v>136.84</v>
      </c>
      <c r="F1221" s="0" t="n">
        <v>1767</v>
      </c>
    </row>
    <row r="1223" customFormat="false" ht="14.65" hidden="false" customHeight="false" outlineLevel="0" collapsed="false">
      <c r="A1223" s="0" t="s">
        <v>137</v>
      </c>
      <c r="B1223" s="0" t="n">
        <v>1</v>
      </c>
      <c r="C1223" s="0" t="n">
        <v>1</v>
      </c>
      <c r="D1223" s="0" t="n">
        <v>50.3582</v>
      </c>
      <c r="E1223" s="0" t="n">
        <v>136.84</v>
      </c>
      <c r="F1223" s="0" t="n">
        <v>1767</v>
      </c>
    </row>
    <row r="1225" customFormat="false" ht="14.65" hidden="false" customHeight="false" outlineLevel="0" collapsed="false">
      <c r="A1225" s="0" t="s">
        <v>142</v>
      </c>
      <c r="B1225" s="0" t="n">
        <v>1767</v>
      </c>
    </row>
    <row r="1226" customFormat="false" ht="14.65" hidden="false" customHeight="false" outlineLevel="0" collapsed="false">
      <c r="A1226" s="0" t="s">
        <v>58</v>
      </c>
      <c r="B1226" s="0" t="s">
        <v>59</v>
      </c>
      <c r="C1226" s="0" t="s">
        <v>60</v>
      </c>
      <c r="D1226" s="0" t="s">
        <v>61</v>
      </c>
      <c r="E1226" s="0" t="s">
        <v>62</v>
      </c>
      <c r="F1226" s="0" t="s">
        <v>63</v>
      </c>
    </row>
    <row r="1227" customFormat="false" ht="14.65" hidden="false" customHeight="false" outlineLevel="0" collapsed="false">
      <c r="A1227" s="0" t="s">
        <v>293</v>
      </c>
      <c r="C1227" s="0" t="s">
        <v>45</v>
      </c>
      <c r="F1227" s="34" t="n">
        <v>34011</v>
      </c>
    </row>
    <row r="1229" customFormat="false" ht="14.65" hidden="false" customHeight="false" outlineLevel="0" collapsed="false">
      <c r="A1229" s="0" t="s">
        <v>134</v>
      </c>
      <c r="B1229" s="0" t="s">
        <v>180</v>
      </c>
    </row>
    <row r="1230" customFormat="false" ht="14.65" hidden="false" customHeight="false" outlineLevel="0" collapsed="false">
      <c r="A1230" s="0" t="s">
        <v>136</v>
      </c>
      <c r="B1230" s="0" t="s">
        <v>137</v>
      </c>
    </row>
    <row r="1232" customFormat="false" ht="14.65" hidden="false" customHeight="false" outlineLevel="0" collapsed="false">
      <c r="A1232" s="0" t="s">
        <v>138</v>
      </c>
      <c r="B1232" s="0" t="s">
        <v>139</v>
      </c>
      <c r="D1232" s="0" t="s">
        <v>6</v>
      </c>
      <c r="E1232" s="0" t="s">
        <v>7</v>
      </c>
      <c r="F1232" s="0" t="s">
        <v>9</v>
      </c>
    </row>
    <row r="1234" customFormat="false" ht="14.65" hidden="false" customHeight="false" outlineLevel="0" collapsed="false">
      <c r="A1234" s="0" t="s">
        <v>140</v>
      </c>
      <c r="B1234" s="0" t="s">
        <v>141</v>
      </c>
      <c r="D1234" s="0" t="n">
        <v>23.6497</v>
      </c>
      <c r="E1234" s="0" t="n">
        <v>28.3483</v>
      </c>
      <c r="F1234" s="0" t="n">
        <v>1767</v>
      </c>
    </row>
    <row r="1236" customFormat="false" ht="14.65" hidden="false" customHeight="false" outlineLevel="0" collapsed="false">
      <c r="A1236" s="0" t="s">
        <v>137</v>
      </c>
      <c r="B1236" s="0" t="n">
        <v>1</v>
      </c>
      <c r="D1236" s="0" t="n">
        <v>23.6497</v>
      </c>
      <c r="E1236" s="0" t="n">
        <v>28.3483</v>
      </c>
      <c r="F1236" s="0" t="n">
        <v>1767</v>
      </c>
    </row>
    <row r="1238" customFormat="false" ht="14.65" hidden="false" customHeight="false" outlineLevel="0" collapsed="false">
      <c r="A1238" s="0" t="s">
        <v>142</v>
      </c>
      <c r="B1238" s="0" t="n">
        <v>1767</v>
      </c>
    </row>
    <row r="1239" customFormat="false" ht="14.65" hidden="false" customHeight="false" outlineLevel="0" collapsed="false">
      <c r="A1239" s="0" t="s">
        <v>58</v>
      </c>
      <c r="B1239" s="0" t="s">
        <v>59</v>
      </c>
      <c r="C1239" s="0" t="s">
        <v>60</v>
      </c>
      <c r="D1239" s="0" t="s">
        <v>61</v>
      </c>
      <c r="E1239" s="0" t="s">
        <v>62</v>
      </c>
      <c r="F1239" s="0" t="s">
        <v>63</v>
      </c>
    </row>
    <row r="1240" customFormat="false" ht="14.65" hidden="false" customHeight="false" outlineLevel="0" collapsed="false">
      <c r="A1240" s="0" t="s">
        <v>294</v>
      </c>
      <c r="C1240" s="0" t="s">
        <v>45</v>
      </c>
      <c r="F1240" s="34" t="n">
        <v>34011</v>
      </c>
    </row>
    <row r="1242" customFormat="false" ht="14.65" hidden="false" customHeight="false" outlineLevel="0" collapsed="false">
      <c r="A1242" s="0" t="s">
        <v>134</v>
      </c>
      <c r="B1242" s="0" t="s">
        <v>204</v>
      </c>
    </row>
    <row r="1243" customFormat="false" ht="14.65" hidden="false" customHeight="false" outlineLevel="0" collapsed="false">
      <c r="A1243" s="0" t="s">
        <v>136</v>
      </c>
      <c r="B1243" s="0" t="s">
        <v>137</v>
      </c>
    </row>
    <row r="1245" customFormat="false" ht="14.65" hidden="false" customHeight="false" outlineLevel="0" collapsed="false">
      <c r="A1245" s="0" t="s">
        <v>138</v>
      </c>
      <c r="B1245" s="0" t="s">
        <v>139</v>
      </c>
      <c r="D1245" s="0" t="s">
        <v>6</v>
      </c>
      <c r="E1245" s="0" t="s">
        <v>7</v>
      </c>
      <c r="F1245" s="0" t="s">
        <v>9</v>
      </c>
    </row>
    <row r="1247" customFormat="false" ht="14.65" hidden="false" customHeight="false" outlineLevel="0" collapsed="false">
      <c r="A1247" s="0" t="s">
        <v>140</v>
      </c>
      <c r="B1247" s="0" t="s">
        <v>141</v>
      </c>
      <c r="D1247" s="0" t="n">
        <v>1.292</v>
      </c>
      <c r="E1247" s="0" t="n">
        <v>0.6382</v>
      </c>
      <c r="F1247" s="0" t="n">
        <v>1767</v>
      </c>
    </row>
    <row r="1249" customFormat="false" ht="14.65" hidden="false" customHeight="false" outlineLevel="0" collapsed="false">
      <c r="A1249" s="0" t="s">
        <v>137</v>
      </c>
      <c r="B1249" s="0" t="n">
        <v>1</v>
      </c>
      <c r="D1249" s="0" t="n">
        <v>1.292</v>
      </c>
      <c r="E1249" s="0" t="n">
        <v>0.6382</v>
      </c>
      <c r="F1249" s="0" t="n">
        <v>1767</v>
      </c>
    </row>
    <row r="1251" customFormat="false" ht="14.65" hidden="false" customHeight="false" outlineLevel="0" collapsed="false">
      <c r="A1251" s="0" t="s">
        <v>142</v>
      </c>
      <c r="B1251" s="0" t="n">
        <v>1767</v>
      </c>
    </row>
    <row r="1252" customFormat="false" ht="14.65" hidden="false" customHeight="false" outlineLevel="0" collapsed="false">
      <c r="A1252" s="0" t="s">
        <v>58</v>
      </c>
      <c r="B1252" s="0" t="s">
        <v>59</v>
      </c>
      <c r="C1252" s="0" t="s">
        <v>60</v>
      </c>
      <c r="D1252" s="0" t="s">
        <v>61</v>
      </c>
      <c r="E1252" s="0" t="s">
        <v>62</v>
      </c>
      <c r="F1252" s="0" t="s">
        <v>63</v>
      </c>
    </row>
    <row r="1253" customFormat="false" ht="14.65" hidden="false" customHeight="false" outlineLevel="0" collapsed="false">
      <c r="A1253" s="0" t="s">
        <v>295</v>
      </c>
      <c r="C1253" s="0" t="s">
        <v>45</v>
      </c>
      <c r="F1253" s="34" t="n">
        <v>34011</v>
      </c>
    </row>
    <row r="1255" customFormat="false" ht="14.65" hidden="false" customHeight="false" outlineLevel="0" collapsed="false">
      <c r="A1255" s="0" t="s">
        <v>65</v>
      </c>
      <c r="B1255" s="0" t="s">
        <v>66</v>
      </c>
      <c r="C1255" s="0" t="s">
        <v>296</v>
      </c>
    </row>
    <row r="1257" customFormat="false" ht="14.65" hidden="false" customHeight="false" outlineLevel="0" collapsed="false">
      <c r="A1257" s="0" t="s">
        <v>288</v>
      </c>
      <c r="B1257" s="0" t="s">
        <v>297</v>
      </c>
    </row>
    <row r="1258" customFormat="false" ht="14.65" hidden="false" customHeight="false" outlineLevel="0" collapsed="false">
      <c r="A1258" s="0" t="s">
        <v>95</v>
      </c>
      <c r="B1258" s="0" t="s">
        <v>298</v>
      </c>
      <c r="C1258" s="0" t="s">
        <v>299</v>
      </c>
    </row>
    <row r="1260" customFormat="false" ht="14.65" hidden="false" customHeight="false" outlineLevel="0" collapsed="false">
      <c r="A1260" s="0" t="s">
        <v>127</v>
      </c>
      <c r="B1260" s="0" t="s">
        <v>128</v>
      </c>
      <c r="C1260" s="0" t="s">
        <v>129</v>
      </c>
      <c r="D1260" s="0" t="s">
        <v>130</v>
      </c>
      <c r="E1260" s="0" t="s">
        <v>131</v>
      </c>
      <c r="F1260" s="0" t="s">
        <v>132</v>
      </c>
    </row>
    <row r="1263" customFormat="false" ht="14.65" hidden="false" customHeight="false" outlineLevel="0" collapsed="false">
      <c r="A1263" s="0" t="s">
        <v>58</v>
      </c>
      <c r="B1263" s="0" t="s">
        <v>59</v>
      </c>
      <c r="C1263" s="0" t="s">
        <v>60</v>
      </c>
      <c r="D1263" s="0" t="s">
        <v>61</v>
      </c>
      <c r="E1263" s="0" t="s">
        <v>62</v>
      </c>
      <c r="F1263" s="0" t="s">
        <v>63</v>
      </c>
    </row>
    <row r="1264" customFormat="false" ht="14.65" hidden="false" customHeight="false" outlineLevel="0" collapsed="false">
      <c r="A1264" s="0" t="s">
        <v>300</v>
      </c>
      <c r="C1264" s="0" t="s">
        <v>45</v>
      </c>
      <c r="F1264" s="34" t="n">
        <v>34011</v>
      </c>
    </row>
    <row r="1266" customFormat="false" ht="14.65" hidden="false" customHeight="false" outlineLevel="0" collapsed="false">
      <c r="A1266" s="0" t="s">
        <v>134</v>
      </c>
      <c r="B1266" s="0" t="s">
        <v>157</v>
      </c>
    </row>
    <row r="1267" customFormat="false" ht="14.65" hidden="false" customHeight="false" outlineLevel="0" collapsed="false">
      <c r="A1267" s="0" t="s">
        <v>136</v>
      </c>
      <c r="B1267" s="0" t="s">
        <v>137</v>
      </c>
    </row>
    <row r="1269" customFormat="false" ht="14.65" hidden="false" customHeight="false" outlineLevel="0" collapsed="false">
      <c r="A1269" s="0" t="s">
        <v>138</v>
      </c>
      <c r="B1269" s="0" t="s">
        <v>139</v>
      </c>
      <c r="D1269" s="0" t="s">
        <v>6</v>
      </c>
      <c r="E1269" s="0" t="s">
        <v>7</v>
      </c>
      <c r="F1269" s="0" t="s">
        <v>9</v>
      </c>
    </row>
    <row r="1271" customFormat="false" ht="14.65" hidden="false" customHeight="false" outlineLevel="0" collapsed="false">
      <c r="A1271" s="0" t="s">
        <v>140</v>
      </c>
      <c r="B1271" s="0" t="s">
        <v>141</v>
      </c>
      <c r="C1271" s="0" t="n">
        <v>1</v>
      </c>
      <c r="D1271" s="0" t="n">
        <v>53.6757</v>
      </c>
      <c r="E1271" s="0" t="n">
        <v>170.5439</v>
      </c>
      <c r="F1271" s="0" t="n">
        <v>74</v>
      </c>
    </row>
    <row r="1273" customFormat="false" ht="14.65" hidden="false" customHeight="false" outlineLevel="0" collapsed="false">
      <c r="A1273" s="0" t="s">
        <v>137</v>
      </c>
      <c r="B1273" s="0" t="n">
        <v>1</v>
      </c>
      <c r="C1273" s="0" t="n">
        <v>1</v>
      </c>
      <c r="D1273" s="0" t="n">
        <v>53.6757</v>
      </c>
      <c r="E1273" s="0" t="n">
        <v>170.5439</v>
      </c>
      <c r="F1273" s="0" t="n">
        <v>74</v>
      </c>
    </row>
    <row r="1275" customFormat="false" ht="14.65" hidden="false" customHeight="false" outlineLevel="0" collapsed="false">
      <c r="A1275" s="0" t="s">
        <v>142</v>
      </c>
      <c r="B1275" s="0" t="n">
        <v>74</v>
      </c>
    </row>
    <row r="1276" customFormat="false" ht="14.65" hidden="false" customHeight="false" outlineLevel="0" collapsed="false">
      <c r="A1276" s="0" t="s">
        <v>58</v>
      </c>
      <c r="B1276" s="0" t="s">
        <v>59</v>
      </c>
      <c r="C1276" s="0" t="s">
        <v>60</v>
      </c>
      <c r="D1276" s="0" t="s">
        <v>61</v>
      </c>
      <c r="E1276" s="0" t="s">
        <v>62</v>
      </c>
      <c r="F1276" s="0" t="s">
        <v>63</v>
      </c>
    </row>
    <row r="1277" customFormat="false" ht="14.65" hidden="false" customHeight="false" outlineLevel="0" collapsed="false">
      <c r="A1277" s="0" t="s">
        <v>301</v>
      </c>
      <c r="C1277" s="0" t="s">
        <v>45</v>
      </c>
      <c r="F1277" s="34" t="n">
        <v>34011</v>
      </c>
    </row>
    <row r="1279" customFormat="false" ht="14.65" hidden="false" customHeight="false" outlineLevel="0" collapsed="false">
      <c r="A1279" s="0" t="s">
        <v>134</v>
      </c>
      <c r="B1279" s="0" t="s">
        <v>182</v>
      </c>
    </row>
    <row r="1280" customFormat="false" ht="14.65" hidden="false" customHeight="false" outlineLevel="0" collapsed="false">
      <c r="A1280" s="0" t="s">
        <v>136</v>
      </c>
      <c r="B1280" s="0" t="s">
        <v>137</v>
      </c>
    </row>
    <row r="1282" customFormat="false" ht="14.65" hidden="false" customHeight="false" outlineLevel="0" collapsed="false">
      <c r="A1282" s="0" t="s">
        <v>138</v>
      </c>
      <c r="B1282" s="0" t="s">
        <v>139</v>
      </c>
      <c r="D1282" s="0" t="s">
        <v>6</v>
      </c>
      <c r="E1282" s="0" t="s">
        <v>7</v>
      </c>
      <c r="F1282" s="0" t="s">
        <v>9</v>
      </c>
    </row>
    <row r="1284" customFormat="false" ht="14.65" hidden="false" customHeight="false" outlineLevel="0" collapsed="false">
      <c r="A1284" s="0" t="s">
        <v>140</v>
      </c>
      <c r="B1284" s="0" t="s">
        <v>141</v>
      </c>
      <c r="D1284" s="0" t="n">
        <v>24.2162</v>
      </c>
      <c r="E1284" s="0" t="n">
        <v>23.3545</v>
      </c>
      <c r="F1284" s="0" t="n">
        <v>74</v>
      </c>
    </row>
    <row r="1286" customFormat="false" ht="14.65" hidden="false" customHeight="false" outlineLevel="0" collapsed="false">
      <c r="A1286" s="0" t="s">
        <v>137</v>
      </c>
      <c r="B1286" s="0" t="n">
        <v>1</v>
      </c>
      <c r="D1286" s="0" t="n">
        <v>24.2162</v>
      </c>
      <c r="E1286" s="0" t="n">
        <v>23.3545</v>
      </c>
      <c r="F1286" s="0" t="n">
        <v>74</v>
      </c>
    </row>
    <row r="1288" customFormat="false" ht="14.65" hidden="false" customHeight="false" outlineLevel="0" collapsed="false">
      <c r="A1288" s="0" t="s">
        <v>142</v>
      </c>
      <c r="B1288" s="0" t="n">
        <v>74</v>
      </c>
    </row>
    <row r="1289" customFormat="false" ht="14.65" hidden="false" customHeight="false" outlineLevel="0" collapsed="false">
      <c r="A1289" s="0" t="s">
        <v>58</v>
      </c>
      <c r="B1289" s="0" t="s">
        <v>59</v>
      </c>
      <c r="C1289" s="0" t="s">
        <v>60</v>
      </c>
      <c r="D1289" s="0" t="s">
        <v>61</v>
      </c>
      <c r="E1289" s="0" t="s">
        <v>62</v>
      </c>
      <c r="F1289" s="0" t="s">
        <v>63</v>
      </c>
    </row>
    <row r="1290" customFormat="false" ht="14.65" hidden="false" customHeight="false" outlineLevel="0" collapsed="false">
      <c r="A1290" s="0" t="s">
        <v>302</v>
      </c>
      <c r="C1290" s="0" t="s">
        <v>45</v>
      </c>
      <c r="F1290" s="34" t="n">
        <v>34011</v>
      </c>
    </row>
    <row r="1292" customFormat="false" ht="14.65" hidden="false" customHeight="false" outlineLevel="0" collapsed="false">
      <c r="A1292" s="0" t="s">
        <v>134</v>
      </c>
      <c r="B1292" s="0" t="s">
        <v>206</v>
      </c>
    </row>
    <row r="1293" customFormat="false" ht="14.65" hidden="false" customHeight="false" outlineLevel="0" collapsed="false">
      <c r="A1293" s="0" t="s">
        <v>136</v>
      </c>
      <c r="B1293" s="0" t="s">
        <v>137</v>
      </c>
    </row>
    <row r="1295" customFormat="false" ht="14.65" hidden="false" customHeight="false" outlineLevel="0" collapsed="false">
      <c r="A1295" s="0" t="s">
        <v>138</v>
      </c>
      <c r="B1295" s="0" t="s">
        <v>139</v>
      </c>
      <c r="D1295" s="0" t="s">
        <v>6</v>
      </c>
      <c r="E1295" s="0" t="s">
        <v>7</v>
      </c>
      <c r="F1295" s="0" t="s">
        <v>9</v>
      </c>
    </row>
    <row r="1297" customFormat="false" ht="14.65" hidden="false" customHeight="false" outlineLevel="0" collapsed="false">
      <c r="A1297" s="0" t="s">
        <v>140</v>
      </c>
      <c r="B1297" s="0" t="s">
        <v>141</v>
      </c>
      <c r="D1297" s="0" t="n">
        <v>1.2973</v>
      </c>
      <c r="E1297" s="0" t="n">
        <v>0.8231</v>
      </c>
      <c r="F1297" s="0" t="n">
        <v>74</v>
      </c>
    </row>
    <row r="1299" customFormat="false" ht="14.65" hidden="false" customHeight="false" outlineLevel="0" collapsed="false">
      <c r="A1299" s="0" t="s">
        <v>137</v>
      </c>
      <c r="B1299" s="0" t="n">
        <v>1</v>
      </c>
      <c r="D1299" s="0" t="n">
        <v>1.2973</v>
      </c>
      <c r="E1299" s="0" t="n">
        <v>0.8231</v>
      </c>
      <c r="F1299" s="0" t="n">
        <v>74</v>
      </c>
    </row>
    <row r="1301" customFormat="false" ht="14.65" hidden="false" customHeight="false" outlineLevel="0" collapsed="false">
      <c r="A1301" s="0" t="s">
        <v>142</v>
      </c>
      <c r="B1301" s="0" t="n">
        <v>74</v>
      </c>
    </row>
    <row r="1302" customFormat="false" ht="14.65" hidden="false" customHeight="false" outlineLevel="0" collapsed="false">
      <c r="A1302" s="0" t="s">
        <v>58</v>
      </c>
      <c r="B1302" s="0" t="s">
        <v>59</v>
      </c>
      <c r="C1302" s="0" t="s">
        <v>60</v>
      </c>
      <c r="D1302" s="0" t="s">
        <v>61</v>
      </c>
      <c r="E1302" s="0" t="s">
        <v>62</v>
      </c>
      <c r="F1302" s="0" t="s">
        <v>63</v>
      </c>
    </row>
    <row r="1303" customFormat="false" ht="14.65" hidden="false" customHeight="false" outlineLevel="0" collapsed="false">
      <c r="A1303" s="0" t="s">
        <v>303</v>
      </c>
      <c r="C1303" s="0" t="s">
        <v>45</v>
      </c>
      <c r="F1303" s="34" t="n">
        <v>34011</v>
      </c>
    </row>
    <row r="1305" customFormat="false" ht="14.65" hidden="false" customHeight="false" outlineLevel="0" collapsed="false">
      <c r="A1305" s="0" t="s">
        <v>65</v>
      </c>
      <c r="B1305" s="0" t="s">
        <v>66</v>
      </c>
      <c r="C1305" s="0" t="s">
        <v>304</v>
      </c>
    </row>
    <row r="1307" customFormat="false" ht="14.65" hidden="false" customHeight="false" outlineLevel="0" collapsed="false">
      <c r="A1307" s="0" t="s">
        <v>305</v>
      </c>
      <c r="B1307" s="0" t="s">
        <v>306</v>
      </c>
      <c r="C1307" s="0" t="s">
        <v>307</v>
      </c>
    </row>
    <row r="1308" customFormat="false" ht="14.65" hidden="false" customHeight="false" outlineLevel="0" collapsed="false">
      <c r="A1308" s="0" t="s">
        <v>305</v>
      </c>
      <c r="B1308" s="0" t="s">
        <v>308</v>
      </c>
      <c r="C1308" s="0" t="s">
        <v>307</v>
      </c>
    </row>
    <row r="1309" customFormat="false" ht="14.65" hidden="false" customHeight="false" outlineLevel="0" collapsed="false">
      <c r="A1309" s="0" t="s">
        <v>305</v>
      </c>
      <c r="B1309" s="0" t="s">
        <v>309</v>
      </c>
      <c r="C1309" s="0" t="s">
        <v>307</v>
      </c>
    </row>
    <row r="1310" customFormat="false" ht="14.65" hidden="false" customHeight="false" outlineLevel="0" collapsed="false">
      <c r="A1310" s="0" t="s">
        <v>305</v>
      </c>
      <c r="B1310" s="0" t="s">
        <v>310</v>
      </c>
      <c r="C1310" s="0" t="s">
        <v>307</v>
      </c>
    </row>
    <row r="1311" customFormat="false" ht="14.65" hidden="false" customHeight="false" outlineLevel="0" collapsed="false">
      <c r="A1311" s="0" t="s">
        <v>305</v>
      </c>
      <c r="B1311" s="0" t="s">
        <v>311</v>
      </c>
      <c r="C1311" s="0" t="s">
        <v>307</v>
      </c>
    </row>
    <row r="1312" customFormat="false" ht="14.65" hidden="false" customHeight="false" outlineLevel="0" collapsed="false">
      <c r="A1312" s="0" t="s">
        <v>58</v>
      </c>
      <c r="B1312" s="0" t="s">
        <v>59</v>
      </c>
      <c r="C1312" s="0" t="s">
        <v>60</v>
      </c>
      <c r="D1312" s="0" t="s">
        <v>61</v>
      </c>
      <c r="E1312" s="0" t="s">
        <v>62</v>
      </c>
      <c r="F1312" s="0" t="s">
        <v>63</v>
      </c>
    </row>
    <row r="1313" customFormat="false" ht="14.65" hidden="false" customHeight="false" outlineLevel="0" collapsed="false">
      <c r="A1313" s="0" t="s">
        <v>312</v>
      </c>
      <c r="C1313" s="0" t="s">
        <v>45</v>
      </c>
      <c r="F1313" s="34" t="n">
        <v>34011</v>
      </c>
    </row>
    <row r="1315" customFormat="false" ht="14.65" hidden="false" customHeight="false" outlineLevel="0" collapsed="false">
      <c r="A1315" s="0" t="s">
        <v>313</v>
      </c>
      <c r="B1315" s="0" t="s">
        <v>314</v>
      </c>
      <c r="C1315" s="0" t="s">
        <v>315</v>
      </c>
    </row>
    <row r="1316" customFormat="false" ht="14.65" hidden="false" customHeight="false" outlineLevel="0" collapsed="false">
      <c r="A1316" s="0" t="s">
        <v>316</v>
      </c>
      <c r="B1316" s="0" t="s">
        <v>317</v>
      </c>
      <c r="C1316" s="0" t="s">
        <v>318</v>
      </c>
    </row>
    <row r="1317" customFormat="false" ht="14.65" hidden="false" customHeight="false" outlineLevel="0" collapsed="false">
      <c r="A1317" s="0" t="s">
        <v>288</v>
      </c>
      <c r="B1317" s="0" t="s">
        <v>297</v>
      </c>
    </row>
    <row r="1318" customFormat="false" ht="14.65" hidden="false" customHeight="false" outlineLevel="0" collapsed="false">
      <c r="A1318" s="0" t="s">
        <v>160</v>
      </c>
      <c r="B1318" s="0" t="s">
        <v>319</v>
      </c>
      <c r="C1318" s="0" t="s">
        <v>320</v>
      </c>
    </row>
    <row r="1319" customFormat="false" ht="14.65" hidden="false" customHeight="false" outlineLevel="0" collapsed="false">
      <c r="A1319" s="0" t="s">
        <v>101</v>
      </c>
      <c r="B1319" s="0" t="s">
        <v>102</v>
      </c>
      <c r="C1319" s="0" t="s">
        <v>103</v>
      </c>
      <c r="D1319" s="0" t="s">
        <v>104</v>
      </c>
    </row>
    <row r="1320" customFormat="false" ht="14.65" hidden="false" customHeight="false" outlineLevel="0" collapsed="false">
      <c r="A1320" s="0" t="s">
        <v>105</v>
      </c>
      <c r="B1320" s="0" t="s">
        <v>106</v>
      </c>
      <c r="C1320" s="0" t="s">
        <v>107</v>
      </c>
      <c r="D1320" s="0" t="s">
        <v>108</v>
      </c>
      <c r="E1320" s="0" t="s">
        <v>109</v>
      </c>
    </row>
    <row r="1322" customFormat="false" ht="14.65" hidden="false" customHeight="false" outlineLevel="0" collapsed="false">
      <c r="A1322" s="0" t="s">
        <v>127</v>
      </c>
      <c r="B1322" s="0" t="s">
        <v>128</v>
      </c>
      <c r="C1322" s="0" t="s">
        <v>129</v>
      </c>
      <c r="D1322" s="0" t="s">
        <v>130</v>
      </c>
      <c r="E1322" s="0" t="s">
        <v>131</v>
      </c>
      <c r="F1322" s="0" t="s">
        <v>132</v>
      </c>
    </row>
    <row r="1325" customFormat="false" ht="14.65" hidden="false" customHeight="false" outlineLevel="0" collapsed="false">
      <c r="A1325" s="0" t="s">
        <v>58</v>
      </c>
      <c r="B1325" s="0" t="s">
        <v>59</v>
      </c>
      <c r="C1325" s="0" t="s">
        <v>60</v>
      </c>
      <c r="D1325" s="0" t="s">
        <v>61</v>
      </c>
      <c r="E1325" s="0" t="s">
        <v>62</v>
      </c>
      <c r="F1325" s="0" t="s">
        <v>63</v>
      </c>
    </row>
    <row r="1326" customFormat="false" ht="14.65" hidden="false" customHeight="false" outlineLevel="0" collapsed="false">
      <c r="A1326" s="0" t="s">
        <v>321</v>
      </c>
      <c r="C1326" s="0" t="s">
        <v>45</v>
      </c>
      <c r="F1326" s="34" t="n">
        <v>34011</v>
      </c>
    </row>
    <row r="1328" customFormat="false" ht="14.65" hidden="false" customHeight="false" outlineLevel="0" collapsed="false">
      <c r="A1328" s="0" t="s">
        <v>134</v>
      </c>
      <c r="B1328" s="0" t="s">
        <v>24</v>
      </c>
    </row>
    <row r="1329" customFormat="false" ht="14.65" hidden="false" customHeight="false" outlineLevel="0" collapsed="false">
      <c r="A1329" s="0" t="s">
        <v>136</v>
      </c>
      <c r="B1329" s="0" t="s">
        <v>137</v>
      </c>
    </row>
    <row r="1331" customFormat="false" ht="14.65" hidden="false" customHeight="false" outlineLevel="0" collapsed="false">
      <c r="A1331" s="0" t="s">
        <v>138</v>
      </c>
      <c r="B1331" s="0" t="s">
        <v>139</v>
      </c>
      <c r="D1331" s="0" t="s">
        <v>6</v>
      </c>
      <c r="E1331" s="0" t="s">
        <v>7</v>
      </c>
      <c r="F1331" s="0" t="s">
        <v>9</v>
      </c>
    </row>
    <row r="1333" customFormat="false" ht="14.65" hidden="false" customHeight="false" outlineLevel="0" collapsed="false">
      <c r="A1333" s="0" t="s">
        <v>140</v>
      </c>
      <c r="B1333" s="0" t="s">
        <v>141</v>
      </c>
      <c r="C1333" s="0" t="n">
        <v>2</v>
      </c>
      <c r="D1333" s="0" t="n">
        <v>60.6486</v>
      </c>
      <c r="E1333" s="0" t="n">
        <v>209.8573</v>
      </c>
      <c r="F1333" s="0" t="n">
        <v>74</v>
      </c>
    </row>
    <row r="1335" customFormat="false" ht="14.65" hidden="false" customHeight="false" outlineLevel="0" collapsed="false">
      <c r="A1335" s="0" t="s">
        <v>137</v>
      </c>
      <c r="B1335" s="0" t="n">
        <v>1</v>
      </c>
      <c r="C1335" s="0" t="n">
        <v>2</v>
      </c>
      <c r="D1335" s="0" t="n">
        <v>60.6486</v>
      </c>
      <c r="E1335" s="0" t="n">
        <v>209.8573</v>
      </c>
      <c r="F1335" s="0" t="n">
        <v>74</v>
      </c>
    </row>
    <row r="1337" customFormat="false" ht="14.65" hidden="false" customHeight="false" outlineLevel="0" collapsed="false">
      <c r="A1337" s="0" t="s">
        <v>142</v>
      </c>
      <c r="B1337" s="0" t="n">
        <v>74</v>
      </c>
    </row>
    <row r="1338" customFormat="false" ht="14.65" hidden="false" customHeight="false" outlineLevel="0" collapsed="false">
      <c r="A1338" s="0" t="s">
        <v>58</v>
      </c>
      <c r="B1338" s="0" t="s">
        <v>59</v>
      </c>
      <c r="C1338" s="0" t="s">
        <v>60</v>
      </c>
      <c r="D1338" s="0" t="s">
        <v>61</v>
      </c>
      <c r="E1338" s="0" t="s">
        <v>62</v>
      </c>
      <c r="F1338" s="0" t="s">
        <v>63</v>
      </c>
    </row>
    <row r="1339" customFormat="false" ht="14.65" hidden="false" customHeight="false" outlineLevel="0" collapsed="false">
      <c r="A1339" s="0" t="s">
        <v>322</v>
      </c>
      <c r="C1339" s="0" t="s">
        <v>45</v>
      </c>
      <c r="F1339" s="34" t="n">
        <v>34011</v>
      </c>
    </row>
    <row r="1341" customFormat="false" ht="14.65" hidden="false" customHeight="false" outlineLevel="0" collapsed="false">
      <c r="A1341" s="0" t="s">
        <v>134</v>
      </c>
      <c r="B1341" s="0" t="s">
        <v>323</v>
      </c>
    </row>
    <row r="1342" customFormat="false" ht="14.65" hidden="false" customHeight="false" outlineLevel="0" collapsed="false">
      <c r="A1342" s="0" t="s">
        <v>136</v>
      </c>
      <c r="B1342" s="0" t="s">
        <v>137</v>
      </c>
    </row>
    <row r="1344" customFormat="false" ht="14.65" hidden="false" customHeight="false" outlineLevel="0" collapsed="false">
      <c r="A1344" s="0" t="s">
        <v>138</v>
      </c>
      <c r="B1344" s="0" t="s">
        <v>139</v>
      </c>
      <c r="D1344" s="0" t="s">
        <v>6</v>
      </c>
      <c r="E1344" s="0" t="s">
        <v>7</v>
      </c>
      <c r="F1344" s="0" t="s">
        <v>9</v>
      </c>
    </row>
    <row r="1346" customFormat="false" ht="14.65" hidden="false" customHeight="false" outlineLevel="0" collapsed="false">
      <c r="A1346" s="0" t="s">
        <v>140</v>
      </c>
      <c r="B1346" s="0" t="s">
        <v>141</v>
      </c>
      <c r="D1346" s="0" t="n">
        <v>15.2162</v>
      </c>
      <c r="E1346" s="0" t="n">
        <v>19.8986</v>
      </c>
      <c r="F1346" s="0" t="n">
        <v>74</v>
      </c>
    </row>
    <row r="1348" customFormat="false" ht="14.65" hidden="false" customHeight="false" outlineLevel="0" collapsed="false">
      <c r="A1348" s="0" t="s">
        <v>137</v>
      </c>
      <c r="B1348" s="0" t="n">
        <v>1</v>
      </c>
      <c r="D1348" s="0" t="n">
        <v>15.2162</v>
      </c>
      <c r="E1348" s="0" t="n">
        <v>19.8986</v>
      </c>
      <c r="F1348" s="0" t="n">
        <v>74</v>
      </c>
    </row>
    <row r="1350" customFormat="false" ht="14.65" hidden="false" customHeight="false" outlineLevel="0" collapsed="false">
      <c r="A1350" s="0" t="s">
        <v>142</v>
      </c>
      <c r="B1350" s="0" t="n">
        <v>74</v>
      </c>
    </row>
    <row r="1351" customFormat="false" ht="14.65" hidden="false" customHeight="false" outlineLevel="0" collapsed="false">
      <c r="A1351" s="0" t="s">
        <v>58</v>
      </c>
      <c r="B1351" s="0" t="s">
        <v>59</v>
      </c>
      <c r="C1351" s="0" t="s">
        <v>60</v>
      </c>
      <c r="D1351" s="0" t="s">
        <v>61</v>
      </c>
      <c r="E1351" s="0" t="s">
        <v>62</v>
      </c>
      <c r="F1351" s="0" t="s">
        <v>63</v>
      </c>
    </row>
    <row r="1352" customFormat="false" ht="14.65" hidden="false" customHeight="false" outlineLevel="0" collapsed="false">
      <c r="A1352" s="0" t="s">
        <v>324</v>
      </c>
      <c r="C1352" s="0" t="s">
        <v>45</v>
      </c>
      <c r="F1352" s="34" t="n">
        <v>34011</v>
      </c>
    </row>
    <row r="1354" customFormat="false" ht="14.65" hidden="false" customHeight="false" outlineLevel="0" collapsed="false">
      <c r="A1354" s="0" t="s">
        <v>134</v>
      </c>
      <c r="B1354" s="0" t="s">
        <v>325</v>
      </c>
    </row>
    <row r="1355" customFormat="false" ht="14.65" hidden="false" customHeight="false" outlineLevel="0" collapsed="false">
      <c r="A1355" s="0" t="s">
        <v>136</v>
      </c>
      <c r="B1355" s="0" t="s">
        <v>137</v>
      </c>
    </row>
    <row r="1357" customFormat="false" ht="14.65" hidden="false" customHeight="false" outlineLevel="0" collapsed="false">
      <c r="A1357" s="0" t="s">
        <v>138</v>
      </c>
      <c r="B1357" s="0" t="s">
        <v>139</v>
      </c>
      <c r="D1357" s="0" t="s">
        <v>6</v>
      </c>
      <c r="E1357" s="0" t="s">
        <v>7</v>
      </c>
      <c r="F1357" s="0" t="s">
        <v>9</v>
      </c>
    </row>
    <row r="1359" customFormat="false" ht="14.65" hidden="false" customHeight="false" outlineLevel="0" collapsed="false">
      <c r="A1359" s="0" t="s">
        <v>140</v>
      </c>
      <c r="B1359" s="0" t="s">
        <v>141</v>
      </c>
      <c r="D1359" s="0" t="n">
        <v>1.2432</v>
      </c>
      <c r="E1359" s="0" t="n">
        <v>1.5243</v>
      </c>
      <c r="F1359" s="0" t="n">
        <v>74</v>
      </c>
    </row>
    <row r="1361" customFormat="false" ht="14.65" hidden="false" customHeight="false" outlineLevel="0" collapsed="false">
      <c r="A1361" s="0" t="s">
        <v>137</v>
      </c>
      <c r="B1361" s="0" t="n">
        <v>1</v>
      </c>
      <c r="D1361" s="0" t="n">
        <v>1.2432</v>
      </c>
      <c r="E1361" s="0" t="n">
        <v>1.5243</v>
      </c>
      <c r="F1361" s="0" t="n">
        <v>74</v>
      </c>
    </row>
    <row r="1363" customFormat="false" ht="14.65" hidden="false" customHeight="false" outlineLevel="0" collapsed="false">
      <c r="A1363" s="0" t="s">
        <v>142</v>
      </c>
      <c r="B1363" s="0" t="n">
        <v>74</v>
      </c>
    </row>
    <row r="1364" customFormat="false" ht="14.65" hidden="false" customHeight="false" outlineLevel="0" collapsed="false">
      <c r="A1364" s="0" t="s">
        <v>58</v>
      </c>
      <c r="B1364" s="0" t="s">
        <v>59</v>
      </c>
      <c r="C1364" s="0" t="s">
        <v>60</v>
      </c>
      <c r="D1364" s="0" t="s">
        <v>61</v>
      </c>
      <c r="E1364" s="0" t="s">
        <v>62</v>
      </c>
      <c r="F1364" s="0" t="s">
        <v>63</v>
      </c>
    </row>
    <row r="1365" customFormat="false" ht="14.65" hidden="false" customHeight="false" outlineLevel="0" collapsed="false">
      <c r="A1365" s="0" t="s">
        <v>326</v>
      </c>
      <c r="C1365" s="0" t="s">
        <v>45</v>
      </c>
      <c r="F1365" s="34" t="n">
        <v>34011</v>
      </c>
    </row>
    <row r="1367" customFormat="false" ht="14.65" hidden="false" customHeight="false" outlineLevel="0" collapsed="false">
      <c r="A1367" s="0" t="s">
        <v>65</v>
      </c>
      <c r="B1367" s="0" t="s">
        <v>66</v>
      </c>
      <c r="C1367" s="0" t="s">
        <v>327</v>
      </c>
    </row>
    <row r="1369" customFormat="false" ht="14.65" hidden="false" customHeight="false" outlineLevel="0" collapsed="false">
      <c r="A1369" s="0" t="s">
        <v>305</v>
      </c>
      <c r="B1369" s="0" t="s">
        <v>306</v>
      </c>
      <c r="C1369" s="0" t="s">
        <v>307</v>
      </c>
    </row>
    <row r="1370" customFormat="false" ht="14.65" hidden="false" customHeight="false" outlineLevel="0" collapsed="false">
      <c r="A1370" s="0" t="s">
        <v>305</v>
      </c>
      <c r="B1370" s="0" t="s">
        <v>308</v>
      </c>
      <c r="C1370" s="0" t="s">
        <v>307</v>
      </c>
    </row>
    <row r="1371" customFormat="false" ht="14.65" hidden="false" customHeight="false" outlineLevel="0" collapsed="false">
      <c r="A1371" s="0" t="s">
        <v>305</v>
      </c>
      <c r="B1371" s="0" t="s">
        <v>309</v>
      </c>
      <c r="C1371" s="0" t="s">
        <v>307</v>
      </c>
    </row>
    <row r="1372" customFormat="false" ht="14.65" hidden="false" customHeight="false" outlineLevel="0" collapsed="false">
      <c r="A1372" s="0" t="s">
        <v>305</v>
      </c>
      <c r="B1372" s="0" t="s">
        <v>310</v>
      </c>
      <c r="C1372" s="0" t="s">
        <v>307</v>
      </c>
    </row>
    <row r="1373" customFormat="false" ht="14.65" hidden="false" customHeight="false" outlineLevel="0" collapsed="false">
      <c r="A1373" s="0" t="s">
        <v>305</v>
      </c>
      <c r="B1373" s="0" t="s">
        <v>311</v>
      </c>
      <c r="C1373" s="0" t="s">
        <v>307</v>
      </c>
    </row>
    <row r="1374" customFormat="false" ht="14.65" hidden="false" customHeight="false" outlineLevel="0" collapsed="false">
      <c r="A1374" s="0" t="s">
        <v>58</v>
      </c>
      <c r="B1374" s="0" t="s">
        <v>59</v>
      </c>
      <c r="C1374" s="0" t="s">
        <v>60</v>
      </c>
      <c r="D1374" s="0" t="s">
        <v>61</v>
      </c>
      <c r="E1374" s="0" t="s">
        <v>62</v>
      </c>
      <c r="F1374" s="0" t="s">
        <v>63</v>
      </c>
    </row>
    <row r="1375" customFormat="false" ht="14.65" hidden="false" customHeight="false" outlineLevel="0" collapsed="false">
      <c r="A1375" s="0" t="s">
        <v>328</v>
      </c>
      <c r="C1375" s="0" t="s">
        <v>45</v>
      </c>
      <c r="F1375" s="34" t="n">
        <v>34011</v>
      </c>
    </row>
    <row r="1377" customFormat="false" ht="14.65" hidden="false" customHeight="false" outlineLevel="0" collapsed="false">
      <c r="A1377" s="0" t="s">
        <v>329</v>
      </c>
      <c r="B1377" s="0" t="s">
        <v>330</v>
      </c>
    </row>
    <row r="1378" customFormat="false" ht="14.65" hidden="false" customHeight="false" outlineLevel="0" collapsed="false">
      <c r="A1378" s="0" t="s">
        <v>160</v>
      </c>
      <c r="B1378" s="0" t="s">
        <v>319</v>
      </c>
      <c r="C1378" s="0" t="s">
        <v>320</v>
      </c>
    </row>
    <row r="1380" customFormat="false" ht="14.65" hidden="false" customHeight="false" outlineLevel="0" collapsed="false">
      <c r="A1380" s="0" t="s">
        <v>127</v>
      </c>
      <c r="B1380" s="0" t="s">
        <v>128</v>
      </c>
      <c r="C1380" s="0" t="s">
        <v>129</v>
      </c>
      <c r="D1380" s="0" t="s">
        <v>130</v>
      </c>
      <c r="E1380" s="0" t="s">
        <v>131</v>
      </c>
      <c r="F1380" s="0" t="s">
        <v>132</v>
      </c>
    </row>
    <row r="1383" customFormat="false" ht="14.65" hidden="false" customHeight="false" outlineLevel="0" collapsed="false">
      <c r="A1383" s="0" t="s">
        <v>58</v>
      </c>
      <c r="B1383" s="0" t="s">
        <v>59</v>
      </c>
      <c r="C1383" s="0" t="s">
        <v>60</v>
      </c>
      <c r="D1383" s="0" t="s">
        <v>61</v>
      </c>
      <c r="E1383" s="0" t="s">
        <v>62</v>
      </c>
      <c r="F1383" s="0" t="s">
        <v>63</v>
      </c>
    </row>
    <row r="1384" customFormat="false" ht="14.65" hidden="false" customHeight="false" outlineLevel="0" collapsed="false">
      <c r="A1384" s="0" t="s">
        <v>331</v>
      </c>
      <c r="C1384" s="0" t="s">
        <v>45</v>
      </c>
      <c r="F1384" s="34" t="n">
        <v>34011</v>
      </c>
    </row>
    <row r="1386" customFormat="false" ht="14.65" hidden="false" customHeight="false" outlineLevel="0" collapsed="false">
      <c r="A1386" s="0" t="s">
        <v>134</v>
      </c>
      <c r="B1386" s="0" t="s">
        <v>24</v>
      </c>
    </row>
    <row r="1387" customFormat="false" ht="14.65" hidden="false" customHeight="false" outlineLevel="0" collapsed="false">
      <c r="A1387" s="0" t="s">
        <v>136</v>
      </c>
      <c r="B1387" s="0" t="s">
        <v>137</v>
      </c>
    </row>
    <row r="1389" customFormat="false" ht="14.65" hidden="false" customHeight="false" outlineLevel="0" collapsed="false">
      <c r="A1389" s="0" t="s">
        <v>138</v>
      </c>
      <c r="B1389" s="0" t="s">
        <v>139</v>
      </c>
      <c r="D1389" s="0" t="s">
        <v>6</v>
      </c>
      <c r="E1389" s="0" t="s">
        <v>7</v>
      </c>
      <c r="F1389" s="0" t="s">
        <v>9</v>
      </c>
    </row>
    <row r="1391" customFormat="false" ht="14.65" hidden="false" customHeight="false" outlineLevel="0" collapsed="false">
      <c r="A1391" s="0" t="s">
        <v>140</v>
      </c>
      <c r="B1391" s="0" t="s">
        <v>141</v>
      </c>
      <c r="C1391" s="0" t="n">
        <v>1</v>
      </c>
      <c r="D1391" s="0" t="n">
        <v>92.759</v>
      </c>
      <c r="E1391" s="0" t="n">
        <v>167.5525</v>
      </c>
      <c r="F1391" s="0" t="n">
        <v>4652</v>
      </c>
    </row>
    <row r="1393" customFormat="false" ht="14.65" hidden="false" customHeight="false" outlineLevel="0" collapsed="false">
      <c r="A1393" s="0" t="s">
        <v>137</v>
      </c>
      <c r="B1393" s="0" t="n">
        <v>1</v>
      </c>
      <c r="C1393" s="0" t="n">
        <v>1</v>
      </c>
      <c r="D1393" s="0" t="n">
        <v>92.759</v>
      </c>
      <c r="E1393" s="0" t="n">
        <v>167.5525</v>
      </c>
      <c r="F1393" s="0" t="n">
        <v>4652</v>
      </c>
    </row>
    <row r="1395" customFormat="false" ht="14.65" hidden="false" customHeight="false" outlineLevel="0" collapsed="false">
      <c r="A1395" s="0" t="s">
        <v>142</v>
      </c>
      <c r="B1395" s="0" t="n">
        <v>4652</v>
      </c>
    </row>
    <row r="1396" customFormat="false" ht="14.65" hidden="false" customHeight="false" outlineLevel="0" collapsed="false">
      <c r="A1396" s="0" t="s">
        <v>58</v>
      </c>
      <c r="B1396" s="0" t="s">
        <v>59</v>
      </c>
      <c r="C1396" s="0" t="s">
        <v>60</v>
      </c>
      <c r="D1396" s="0" t="s">
        <v>61</v>
      </c>
      <c r="E1396" s="0" t="s">
        <v>62</v>
      </c>
      <c r="F1396" s="0" t="s">
        <v>63</v>
      </c>
    </row>
    <row r="1397" customFormat="false" ht="14.65" hidden="false" customHeight="false" outlineLevel="0" collapsed="false">
      <c r="A1397" s="0" t="s">
        <v>332</v>
      </c>
      <c r="C1397" s="0" t="s">
        <v>45</v>
      </c>
      <c r="F1397" s="34" t="n">
        <v>34011</v>
      </c>
    </row>
    <row r="1399" customFormat="false" ht="14.65" hidden="false" customHeight="false" outlineLevel="0" collapsed="false">
      <c r="A1399" s="0" t="s">
        <v>134</v>
      </c>
      <c r="B1399" s="0" t="s">
        <v>323</v>
      </c>
    </row>
    <row r="1400" customFormat="false" ht="14.65" hidden="false" customHeight="false" outlineLevel="0" collapsed="false">
      <c r="A1400" s="0" t="s">
        <v>136</v>
      </c>
      <c r="B1400" s="0" t="s">
        <v>137</v>
      </c>
    </row>
    <row r="1402" customFormat="false" ht="14.65" hidden="false" customHeight="false" outlineLevel="0" collapsed="false">
      <c r="A1402" s="0" t="s">
        <v>138</v>
      </c>
      <c r="B1402" s="0" t="s">
        <v>139</v>
      </c>
      <c r="D1402" s="0" t="s">
        <v>6</v>
      </c>
      <c r="E1402" s="0" t="s">
        <v>7</v>
      </c>
      <c r="F1402" s="0" t="s">
        <v>9</v>
      </c>
    </row>
    <row r="1404" customFormat="false" ht="14.65" hidden="false" customHeight="false" outlineLevel="0" collapsed="false">
      <c r="A1404" s="0" t="s">
        <v>140</v>
      </c>
      <c r="B1404" s="0" t="s">
        <v>141</v>
      </c>
      <c r="D1404" s="0" t="n">
        <v>30.2369</v>
      </c>
      <c r="E1404" s="0" t="n">
        <v>32.743</v>
      </c>
      <c r="F1404" s="0" t="n">
        <v>4652</v>
      </c>
    </row>
    <row r="1406" customFormat="false" ht="14.65" hidden="false" customHeight="false" outlineLevel="0" collapsed="false">
      <c r="A1406" s="0" t="s">
        <v>137</v>
      </c>
      <c r="B1406" s="0" t="n">
        <v>1</v>
      </c>
      <c r="D1406" s="0" t="n">
        <v>30.2369</v>
      </c>
      <c r="E1406" s="0" t="n">
        <v>32.743</v>
      </c>
      <c r="F1406" s="0" t="n">
        <v>4652</v>
      </c>
    </row>
    <row r="1408" customFormat="false" ht="14.65" hidden="false" customHeight="false" outlineLevel="0" collapsed="false">
      <c r="A1408" s="0" t="s">
        <v>142</v>
      </c>
      <c r="B1408" s="0" t="n">
        <v>4652</v>
      </c>
    </row>
    <row r="1409" customFormat="false" ht="14.65" hidden="false" customHeight="false" outlineLevel="0" collapsed="false">
      <c r="A1409" s="0" t="s">
        <v>58</v>
      </c>
      <c r="B1409" s="0" t="s">
        <v>59</v>
      </c>
      <c r="C1409" s="0" t="s">
        <v>60</v>
      </c>
      <c r="D1409" s="0" t="s">
        <v>61</v>
      </c>
      <c r="E1409" s="0" t="s">
        <v>62</v>
      </c>
      <c r="F1409" s="0" t="s">
        <v>63</v>
      </c>
    </row>
    <row r="1410" customFormat="false" ht="14.65" hidden="false" customHeight="false" outlineLevel="0" collapsed="false">
      <c r="A1410" s="0" t="s">
        <v>333</v>
      </c>
      <c r="C1410" s="0" t="s">
        <v>45</v>
      </c>
      <c r="F1410" s="34" t="n">
        <v>34011</v>
      </c>
    </row>
    <row r="1412" customFormat="false" ht="14.65" hidden="false" customHeight="false" outlineLevel="0" collapsed="false">
      <c r="A1412" s="0" t="s">
        <v>134</v>
      </c>
      <c r="B1412" s="0" t="s">
        <v>325</v>
      </c>
    </row>
    <row r="1413" customFormat="false" ht="14.65" hidden="false" customHeight="false" outlineLevel="0" collapsed="false">
      <c r="A1413" s="0" t="s">
        <v>136</v>
      </c>
      <c r="B1413" s="0" t="s">
        <v>137</v>
      </c>
    </row>
    <row r="1415" customFormat="false" ht="14.65" hidden="false" customHeight="false" outlineLevel="0" collapsed="false">
      <c r="A1415" s="0" t="s">
        <v>138</v>
      </c>
      <c r="B1415" s="0" t="s">
        <v>139</v>
      </c>
      <c r="D1415" s="0" t="s">
        <v>6</v>
      </c>
      <c r="E1415" s="0" t="s">
        <v>7</v>
      </c>
      <c r="F1415" s="0" t="s">
        <v>9</v>
      </c>
    </row>
    <row r="1417" customFormat="false" ht="14.65" hidden="false" customHeight="false" outlineLevel="0" collapsed="false">
      <c r="A1417" s="0" t="s">
        <v>140</v>
      </c>
      <c r="B1417" s="0" t="s">
        <v>141</v>
      </c>
      <c r="D1417" s="0" t="n">
        <v>1.8418</v>
      </c>
      <c r="E1417" s="0" t="n">
        <v>1.2915</v>
      </c>
      <c r="F1417" s="0" t="n">
        <v>4652</v>
      </c>
    </row>
    <row r="1419" customFormat="false" ht="14.65" hidden="false" customHeight="false" outlineLevel="0" collapsed="false">
      <c r="A1419" s="0" t="s">
        <v>137</v>
      </c>
      <c r="B1419" s="0" t="n">
        <v>1</v>
      </c>
      <c r="D1419" s="0" t="n">
        <v>1.8418</v>
      </c>
      <c r="E1419" s="0" t="n">
        <v>1.2915</v>
      </c>
      <c r="F1419" s="0" t="n">
        <v>4652</v>
      </c>
    </row>
    <row r="1421" customFormat="false" ht="14.65" hidden="false" customHeight="false" outlineLevel="0" collapsed="false">
      <c r="A1421" s="0" t="s">
        <v>142</v>
      </c>
      <c r="B1421" s="0" t="n">
        <v>4652</v>
      </c>
    </row>
    <row r="1422" customFormat="false" ht="14.65" hidden="false" customHeight="false" outlineLevel="0" collapsed="false">
      <c r="A1422" s="0" t="s">
        <v>58</v>
      </c>
      <c r="B1422" s="0" t="s">
        <v>59</v>
      </c>
      <c r="C1422" s="0" t="s">
        <v>60</v>
      </c>
      <c r="D1422" s="0" t="s">
        <v>61</v>
      </c>
      <c r="E1422" s="0" t="s">
        <v>62</v>
      </c>
      <c r="F1422" s="0" t="s">
        <v>63</v>
      </c>
    </row>
    <row r="1423" customFormat="false" ht="14.65" hidden="false" customHeight="false" outlineLevel="0" collapsed="false">
      <c r="A1423" s="0" t="s">
        <v>334</v>
      </c>
      <c r="C1423" s="0" t="s">
        <v>45</v>
      </c>
      <c r="F1423" s="34" t="n">
        <v>34011</v>
      </c>
    </row>
    <row r="1425" customFormat="false" ht="14.65" hidden="false" customHeight="false" outlineLevel="0" collapsed="false">
      <c r="A1425" s="0" t="s">
        <v>65</v>
      </c>
      <c r="B1425" s="0" t="s">
        <v>66</v>
      </c>
      <c r="C1425" s="0" t="s">
        <v>335</v>
      </c>
    </row>
    <row r="1427" customFormat="false" ht="14.65" hidden="false" customHeight="false" outlineLevel="0" collapsed="false">
      <c r="A1427" s="0" t="s">
        <v>305</v>
      </c>
      <c r="B1427" s="0" t="s">
        <v>306</v>
      </c>
      <c r="C1427" s="0" t="s">
        <v>307</v>
      </c>
    </row>
    <row r="1428" customFormat="false" ht="14.65" hidden="false" customHeight="false" outlineLevel="0" collapsed="false">
      <c r="A1428" s="0" t="s">
        <v>305</v>
      </c>
      <c r="B1428" s="0" t="s">
        <v>308</v>
      </c>
      <c r="C1428" s="0" t="s">
        <v>307</v>
      </c>
    </row>
    <row r="1429" customFormat="false" ht="14.65" hidden="false" customHeight="false" outlineLevel="0" collapsed="false">
      <c r="A1429" s="0" t="s">
        <v>305</v>
      </c>
      <c r="B1429" s="0" t="s">
        <v>309</v>
      </c>
      <c r="C1429" s="0" t="s">
        <v>307</v>
      </c>
    </row>
    <row r="1430" customFormat="false" ht="14.65" hidden="false" customHeight="false" outlineLevel="0" collapsed="false">
      <c r="A1430" s="0" t="s">
        <v>305</v>
      </c>
      <c r="B1430" s="0" t="s">
        <v>310</v>
      </c>
      <c r="C1430" s="0" t="s">
        <v>307</v>
      </c>
    </row>
    <row r="1431" customFormat="false" ht="14.65" hidden="false" customHeight="false" outlineLevel="0" collapsed="false">
      <c r="A1431" s="0" t="s">
        <v>305</v>
      </c>
      <c r="B1431" s="0" t="s">
        <v>311</v>
      </c>
      <c r="C1431" s="0" t="s">
        <v>307</v>
      </c>
    </row>
    <row r="1432" customFormat="false" ht="14.65" hidden="false" customHeight="false" outlineLevel="0" collapsed="false">
      <c r="A1432" s="0" t="s">
        <v>58</v>
      </c>
      <c r="B1432" s="0" t="s">
        <v>59</v>
      </c>
      <c r="C1432" s="0" t="s">
        <v>60</v>
      </c>
      <c r="D1432" s="0" t="s">
        <v>61</v>
      </c>
      <c r="E1432" s="0" t="s">
        <v>62</v>
      </c>
      <c r="F1432" s="0" t="s">
        <v>63</v>
      </c>
    </row>
    <row r="1433" customFormat="false" ht="14.65" hidden="false" customHeight="false" outlineLevel="0" collapsed="false">
      <c r="A1433" s="0" t="s">
        <v>336</v>
      </c>
      <c r="C1433" s="0" t="s">
        <v>45</v>
      </c>
      <c r="F1433" s="34" t="n">
        <v>34011</v>
      </c>
    </row>
    <row r="1435" customFormat="false" ht="14.65" hidden="false" customHeight="false" outlineLevel="0" collapsed="false">
      <c r="A1435" s="0" t="s">
        <v>337</v>
      </c>
    </row>
    <row r="1437" customFormat="false" ht="14.65" hidden="false" customHeight="false" outlineLevel="0" collapsed="false">
      <c r="A1437" s="0" t="s">
        <v>338</v>
      </c>
      <c r="B1437" s="0" t="s">
        <v>339</v>
      </c>
    </row>
    <row r="1438" customFormat="false" ht="14.65" hidden="false" customHeight="false" outlineLevel="0" collapsed="false">
      <c r="A1438" s="0" t="s">
        <v>340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cp:revision>0</cp:revision>
  <dc:subject/>
  <dc:title/>
</cp:coreProperties>
</file>