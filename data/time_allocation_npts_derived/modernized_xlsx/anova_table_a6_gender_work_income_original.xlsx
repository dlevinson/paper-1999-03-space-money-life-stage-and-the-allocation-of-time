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Table A6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<sst xmlns="http://schemas.openxmlformats.org/spreadsheetml/2006/main" count="236" uniqueCount="59">
  <si>
    <t xml:space="preserve">Home</t>
  </si>
  <si>
    <t xml:space="preserve">Work</t>
  </si>
  <si>
    <t xml:space="preserve">Shop</t>
  </si>
  <si>
    <t xml:space="preserve">Other</t>
  </si>
  <si>
    <t xml:space="preserve">Travel</t>
  </si>
  <si>
    <t xml:space="preserve">Main Effects</t>
  </si>
  <si>
    <t xml:space="preserve">Gender</t>
  </si>
  <si>
    <t xml:space="preserve">Work-Status</t>
  </si>
  <si>
    <t xml:space="preserve">Income</t>
  </si>
  <si>
    <t xml:space="preserve">2-way Interactions</t>
  </si>
  <si>
    <t xml:space="preserve">Gender, Work-Status</t>
  </si>
  <si>
    <t xml:space="preserve">Gender, Income</t>
  </si>
  <si>
    <t xml:space="preserve">Work-Status-Income</t>
  </si>
  <si>
    <t xml:space="preserve">3-way Interactions</t>
  </si>
  <si>
    <t xml:space="preserve">Gender, Work-Status, Income</t>
  </si>
  <si>
    <t xml:space="preserve">Explained</t>
  </si>
  <si>
    <t xml:space="preserve">Residual</t>
  </si>
  <si>
    <t xml:space="preserve">Total</t>
  </si>
  <si>
    <t xml:space="preserve">Table: Variance Explained by Gender, Work-Status and Income</t>
  </si>
  <si>
    <t xml:space="preserve">Table A6:</t>
  </si>
  <si>
    <t xml:space="preserve">ANOVA by</t>
  </si>
  <si>
    <t xml:space="preserve">Gend</t>
  </si>
  <si>
    <t xml:space="preserve">er,</t>
  </si>
  <si>
    <t xml:space="preserve">Work Status, and</t>
  </si>
  <si>
    <t xml:space="preserve">Ho</t>
  </si>
  <si>
    <t xml:space="preserve">use</t>
  </si>
  <si>
    <t xml:space="preserve">hold Income.</t>
  </si>
  <si>
    <t xml:space="preserve">TIM</t>
  </si>
  <si>
    <t xml:space="preserve">EHOME</t>
  </si>
  <si>
    <t xml:space="preserve">BY</t>
  </si>
  <si>
    <t xml:space="preserve">SEXX, WORKX, HHI</t>
  </si>
  <si>
    <t xml:space="preserve">NCX</t>
  </si>
  <si>
    <t xml:space="preserve">Sum of</t>
  </si>
  <si>
    <t xml:space="preserve">Mean</t>
  </si>
  <si>
    <t xml:space="preserve">Signif</t>
  </si>
  <si>
    <t xml:space="preserve">Source of</t>
  </si>
  <si>
    <t xml:space="preserve">Variatio</t>
  </si>
  <si>
    <t xml:space="preserve">n</t>
  </si>
  <si>
    <t xml:space="preserve">Squares</t>
  </si>
  <si>
    <t xml:space="preserve">DF</t>
  </si>
  <si>
    <t xml:space="preserve">Square</t>
  </si>
  <si>
    <t xml:space="preserve">F</t>
  </si>
  <si>
    <t xml:space="preserve">of F</t>
  </si>
  <si>
    <t xml:space="preserve">Main Effe</t>
  </si>
  <si>
    <t xml:space="preserve">cts</t>
  </si>
  <si>
    <t xml:space="preserve">SEXX</t>
  </si>
  <si>
    <t xml:space="preserve">WORKX</t>
  </si>
  <si>
    <t xml:space="preserve">HHINCX</t>
  </si>
  <si>
    <t xml:space="preserve">2-way Int</t>
  </si>
  <si>
    <t xml:space="preserve">eractions</t>
  </si>
  <si>
    <t xml:space="preserve">3-way Int</t>
  </si>
  <si>
    <t xml:space="preserve">HHI</t>
  </si>
  <si>
    <t xml:space="preserve">EWORK</t>
  </si>
  <si>
    <t xml:space="preserve">ESHOP</t>
  </si>
  <si>
    <t xml:space="preserve">EOTHE</t>
  </si>
  <si>
    <t xml:space="preserve">ETRAV</t>
  </si>
  <si>
    <t xml:space="preserve">SEXX, WORKX, H</t>
  </si>
  <si>
    <t xml:space="preserve">HIN</t>
  </si>
  <si>
    <t xml:space="preserve">CX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</si>
</sst>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7.56"/>
  </cols>
  <sheetData>
    <row r="1" customFormat="false" ht="12.7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75" hidden="false" customHeight="false" outlineLevel="0" collapsed="false">
      <c r="A2" s="0" t="s">
        <v>5</v>
      </c>
      <c r="B2" s="0" t="n">
        <v>71228593.709</v>
      </c>
      <c r="C2" s="0" t="n">
        <v>117467621.79</v>
      </c>
      <c r="D2" s="0" t="n">
        <v>555816.784</v>
      </c>
      <c r="E2" s="0" t="n">
        <v>6093225.937</v>
      </c>
      <c r="F2" s="0" t="n">
        <v>355552.414</v>
      </c>
    </row>
    <row r="3" customFormat="false" ht="12.75" hidden="false" customHeight="false" outlineLevel="0" collapsed="false">
      <c r="A3" s="0" t="s">
        <v>6</v>
      </c>
      <c r="B3" s="0" t="n">
        <v>2385624.662</v>
      </c>
      <c r="C3" s="0" t="n">
        <v>3021117.976</v>
      </c>
      <c r="D3" s="0" t="n">
        <v>305994.072</v>
      </c>
      <c r="E3" s="0" t="n">
        <v>20167.943</v>
      </c>
      <c r="F3" s="0" t="n">
        <v>47334.018</v>
      </c>
    </row>
    <row r="4" customFormat="false" ht="12.75" hidden="false" customHeight="false" outlineLevel="0" collapsed="false">
      <c r="A4" s="0" t="s">
        <v>7</v>
      </c>
      <c r="B4" s="0" t="n">
        <v>55356276.489</v>
      </c>
      <c r="C4" s="0" t="n">
        <v>96538834.291</v>
      </c>
      <c r="D4" s="0" t="n">
        <v>98745.278</v>
      </c>
      <c r="E4" s="0" t="n">
        <v>4980778.361</v>
      </c>
      <c r="F4" s="0" t="n">
        <v>25845.535</v>
      </c>
    </row>
    <row r="5" customFormat="false" ht="12.75" hidden="false" customHeight="false" outlineLevel="0" collapsed="false">
      <c r="A5" s="0" t="s">
        <v>8</v>
      </c>
      <c r="B5" s="0" t="n">
        <v>2029758.807</v>
      </c>
      <c r="C5" s="0" t="n">
        <v>860639.517</v>
      </c>
      <c r="D5" s="0" t="n">
        <v>94050.636</v>
      </c>
      <c r="E5" s="0" t="n">
        <v>557623.922</v>
      </c>
      <c r="F5" s="0" t="n">
        <v>234230.975</v>
      </c>
    </row>
    <row r="7" customFormat="false" ht="12.75" hidden="false" customHeight="false" outlineLevel="0" collapsed="false">
      <c r="A7" s="0" t="s">
        <v>9</v>
      </c>
      <c r="B7" s="0" t="n">
        <v>3192303.705</v>
      </c>
      <c r="C7" s="0" t="n">
        <v>1331364.065</v>
      </c>
      <c r="D7" s="0" t="n">
        <v>86601.931</v>
      </c>
      <c r="E7" s="0" t="n">
        <v>1614217.912</v>
      </c>
      <c r="F7" s="0" t="n">
        <v>168564.633</v>
      </c>
    </row>
    <row r="8" customFormat="false" ht="12.75" hidden="false" customHeight="false" outlineLevel="0" collapsed="false">
      <c r="A8" s="0" t="s">
        <v>10</v>
      </c>
      <c r="B8" s="0" t="n">
        <v>108460.125</v>
      </c>
      <c r="C8" s="0" t="n">
        <v>289035.959</v>
      </c>
      <c r="D8" s="0" t="n">
        <v>4407.322</v>
      </c>
      <c r="E8" s="0" t="n">
        <v>166969.491</v>
      </c>
      <c r="F8" s="0" t="n">
        <v>17940.873</v>
      </c>
    </row>
    <row r="9" customFormat="false" ht="12.75" hidden="false" customHeight="false" outlineLevel="0" collapsed="false">
      <c r="A9" s="0" t="s">
        <v>11</v>
      </c>
      <c r="B9" s="0" t="n">
        <v>1730307.173</v>
      </c>
      <c r="C9" s="0" t="n">
        <v>786719.536</v>
      </c>
      <c r="D9" s="0" t="n">
        <v>53460.523</v>
      </c>
      <c r="E9" s="0" t="n">
        <v>621067.974</v>
      </c>
      <c r="F9" s="0" t="n">
        <v>95547.949</v>
      </c>
    </row>
    <row r="10" customFormat="false" ht="12.75" hidden="false" customHeight="false" outlineLevel="0" collapsed="false">
      <c r="A10" s="0" t="s">
        <v>12</v>
      </c>
      <c r="B10" s="0" t="n">
        <v>1483754.937</v>
      </c>
      <c r="C10" s="0" t="n">
        <v>174046.221</v>
      </c>
      <c r="D10" s="0" t="n">
        <v>27409.625</v>
      </c>
      <c r="E10" s="0" t="n">
        <v>986763.814</v>
      </c>
      <c r="F10" s="0" t="n">
        <v>43754.737</v>
      </c>
    </row>
    <row r="12" customFormat="false" ht="12.75" hidden="false" customHeight="false" outlineLevel="0" collapsed="false">
      <c r="A12" s="0" t="s">
        <v>13</v>
      </c>
      <c r="B12" s="0" t="n">
        <v>611555.231</v>
      </c>
      <c r="C12" s="0" t="n">
        <v>299656.985</v>
      </c>
      <c r="D12" s="0" t="n">
        <v>20619.845</v>
      </c>
      <c r="E12" s="0" t="n">
        <v>969287.38</v>
      </c>
      <c r="F12" s="0" t="n">
        <v>72353.306</v>
      </c>
    </row>
    <row r="13" customFormat="false" ht="12.75" hidden="false" customHeight="false" outlineLevel="0" collapsed="false">
      <c r="A13" s="0" t="s">
        <v>14</v>
      </c>
      <c r="B13" s="0" t="n">
        <v>611555.231</v>
      </c>
      <c r="C13" s="0" t="n">
        <v>299656.985</v>
      </c>
      <c r="D13" s="0" t="n">
        <v>20619.845</v>
      </c>
      <c r="E13" s="0" t="n">
        <v>969287.38</v>
      </c>
      <c r="F13" s="0" t="n">
        <v>72353.306</v>
      </c>
    </row>
    <row r="15" customFormat="false" ht="12.75" hidden="false" customHeight="false" outlineLevel="0" collapsed="false">
      <c r="A15" s="0" t="s">
        <v>15</v>
      </c>
      <c r="B15" s="0" t="n">
        <v>75032452.644</v>
      </c>
      <c r="C15" s="0" t="n">
        <v>119098642.84</v>
      </c>
      <c r="D15" s="0" t="n">
        <v>663038.56</v>
      </c>
      <c r="E15" s="0" t="n">
        <v>8676731.23</v>
      </c>
      <c r="F15" s="0" t="n">
        <v>596470.352</v>
      </c>
    </row>
    <row r="17" customFormat="false" ht="12.75" hidden="false" customHeight="false" outlineLevel="0" collapsed="false">
      <c r="A17" s="0" t="s">
        <v>16</v>
      </c>
      <c r="B17" s="0" t="n">
        <v>465604961.528</v>
      </c>
      <c r="C17" s="0" t="n">
        <v>480932280.913</v>
      </c>
      <c r="D17" s="0" t="n">
        <v>25176674.684</v>
      </c>
      <c r="E17" s="0" t="n">
        <v>196191210.155</v>
      </c>
      <c r="F17" s="0" t="n">
        <v>31012519.9</v>
      </c>
    </row>
    <row r="19" customFormat="false" ht="12.75" hidden="false" customHeight="false" outlineLevel="0" collapsed="false">
      <c r="A19" s="0" t="s">
        <v>17</v>
      </c>
      <c r="B19" s="0" t="n">
        <v>540637414.172</v>
      </c>
      <c r="C19" s="0" t="n">
        <v>600030923.754</v>
      </c>
      <c r="D19" s="0" t="n">
        <v>25839713.244</v>
      </c>
      <c r="E19" s="0" t="n">
        <v>204867941.385</v>
      </c>
      <c r="F19" s="0" t="n">
        <v>31608990.252</v>
      </c>
    </row>
    <row r="21" customFormat="false" ht="12.75" hidden="false" customHeight="false" outlineLevel="0" collapsed="false">
      <c r="A21" s="0" t="s">
        <v>18</v>
      </c>
    </row>
    <row r="22" customFormat="false" ht="12.75" hidden="false" customHeight="false" outlineLevel="0" collapsed="false">
      <c r="B22" s="0" t="s">
        <v>0</v>
      </c>
      <c r="C22" s="0" t="s">
        <v>1</v>
      </c>
      <c r="D22" s="0" t="s">
        <v>2</v>
      </c>
      <c r="E22" s="0" t="s">
        <v>3</v>
      </c>
      <c r="F22" s="0" t="s">
        <v>4</v>
      </c>
    </row>
    <row r="23" customFormat="false" ht="12.75" hidden="false" customHeight="false" outlineLevel="0" collapsed="false">
      <c r="A23" s="0" t="s">
        <v>5</v>
      </c>
      <c r="B23" s="1" t="n">
        <f aca="false">B2/B$19</f>
        <v>0.131749286752728</v>
      </c>
      <c r="C23" s="1" t="n">
        <f aca="false">C2/C$19</f>
        <v>0.195769279781585</v>
      </c>
      <c r="D23" s="1" t="n">
        <f aca="false">D2/D$19</f>
        <v>0.02151017616765</v>
      </c>
      <c r="E23" s="1" t="n">
        <f aca="false">E2/E$19</f>
        <v>0.0297422129387694</v>
      </c>
      <c r="F23" s="1" t="n">
        <f aca="false">F2/F$19</f>
        <v>0.0112484584659424</v>
      </c>
    </row>
    <row r="24" customFormat="false" ht="12.75" hidden="false" customHeight="false" outlineLevel="0" collapsed="false">
      <c r="A24" s="2" t="s">
        <v>6</v>
      </c>
      <c r="B24" s="1" t="n">
        <f aca="false">B3/B$19</f>
        <v>0.00441261481256092</v>
      </c>
      <c r="C24" s="1" t="n">
        <f aca="false">C3/C$19</f>
        <v>0.00503493712807141</v>
      </c>
      <c r="D24" s="1" t="n">
        <f aca="false">D3/D$19</f>
        <v>0.0118420072665107</v>
      </c>
      <c r="E24" s="1" t="n">
        <f aca="false">E3/E$19</f>
        <v>9.84436259946558E-005</v>
      </c>
      <c r="F24" s="1" t="n">
        <f aca="false">F3/F$19</f>
        <v>0.00149748592481549</v>
      </c>
    </row>
    <row r="25" customFormat="false" ht="12.75" hidden="false" customHeight="false" outlineLevel="0" collapsed="false">
      <c r="A25" s="2" t="s">
        <v>7</v>
      </c>
      <c r="B25" s="1" t="n">
        <f aca="false">B4/B$19</f>
        <v>0.10239076141961</v>
      </c>
      <c r="C25" s="1" t="n">
        <f aca="false">C4/C$19</f>
        <v>0.160889764959145</v>
      </c>
      <c r="D25" s="1" t="n">
        <f aca="false">D4/D$19</f>
        <v>0.0038214540953905</v>
      </c>
      <c r="E25" s="1" t="n">
        <f aca="false">E4/E$19</f>
        <v>0.0243121414084004</v>
      </c>
      <c r="F25" s="1" t="n">
        <f aca="false">F4/F$19</f>
        <v>0.000817664050447315</v>
      </c>
    </row>
    <row r="26" customFormat="false" ht="12.75" hidden="false" customHeight="false" outlineLevel="0" collapsed="false">
      <c r="A26" s="2" t="s">
        <v>8</v>
      </c>
      <c r="B26" s="1" t="n">
        <f aca="false">B5/B$19</f>
        <v>0.003754380946995</v>
      </c>
      <c r="C26" s="1" t="n">
        <f aca="false">C5/C$19</f>
        <v>0.00143432527046363</v>
      </c>
      <c r="D26" s="1" t="n">
        <f aca="false">D5/D$19</f>
        <v>0.00363977088723454</v>
      </c>
      <c r="E26" s="1" t="n">
        <f aca="false">E5/E$19</f>
        <v>0.0027218700897281</v>
      </c>
      <c r="F26" s="1" t="n">
        <f aca="false">F5/F$19</f>
        <v>0.00741026439416803</v>
      </c>
    </row>
    <row r="27" customFormat="false" ht="12.75" hidden="false" customHeight="false" outlineLevel="0" collapsed="false">
      <c r="B27" s="1"/>
      <c r="C27" s="1"/>
      <c r="D27" s="1"/>
      <c r="E27" s="1"/>
      <c r="F27" s="1"/>
    </row>
    <row r="28" customFormat="false" ht="12.75" hidden="false" customHeight="false" outlineLevel="0" collapsed="false">
      <c r="A28" s="0" t="s">
        <v>9</v>
      </c>
      <c r="B28" s="1" t="n">
        <f aca="false">B7/B$19</f>
        <v>0.00590470363559484</v>
      </c>
      <c r="C28" s="1" t="n">
        <f aca="false">C7/C$19</f>
        <v>0.00221882575096385</v>
      </c>
      <c r="D28" s="1" t="n">
        <f aca="false">D7/D$19</f>
        <v>0.00335150511084364</v>
      </c>
      <c r="E28" s="1" t="n">
        <f aca="false">E7/E$19</f>
        <v>0.00787930947656894</v>
      </c>
      <c r="F28" s="1" t="n">
        <f aca="false">F7/F$19</f>
        <v>0.00533280663685024</v>
      </c>
    </row>
    <row r="29" customFormat="false" ht="12.75" hidden="false" customHeight="false" outlineLevel="0" collapsed="false">
      <c r="A29" s="2" t="s">
        <v>10</v>
      </c>
      <c r="B29" s="1" t="n">
        <f aca="false">B8/B$19</f>
        <v>0.000200615277738611</v>
      </c>
      <c r="C29" s="1" t="n">
        <f aca="false">C8/C$19</f>
        <v>0.000481701771621522</v>
      </c>
      <c r="D29" s="1" t="n">
        <f aca="false">D8/D$19</f>
        <v>0.000170563889714348</v>
      </c>
      <c r="E29" s="1" t="n">
        <f aca="false">E8/E$19</f>
        <v>0.000815010342131671</v>
      </c>
      <c r="F29" s="1" t="n">
        <f aca="false">F8/F$19</f>
        <v>0.000567587665944654</v>
      </c>
    </row>
    <row r="30" customFormat="false" ht="12.75" hidden="false" customHeight="false" outlineLevel="0" collapsed="false">
      <c r="A30" s="2" t="s">
        <v>11</v>
      </c>
      <c r="B30" s="1" t="n">
        <f aca="false">B9/B$19</f>
        <v>0.00320049468949538</v>
      </c>
      <c r="C30" s="1" t="n">
        <f aca="false">C9/C$19</f>
        <v>0.00131113165147891</v>
      </c>
      <c r="D30" s="1" t="n">
        <f aca="false">D9/D$19</f>
        <v>0.00206892864851794</v>
      </c>
      <c r="E30" s="1" t="n">
        <f aca="false">E9/E$19</f>
        <v>0.0030315527641919</v>
      </c>
      <c r="F30" s="1" t="n">
        <f aca="false">F9/F$19</f>
        <v>0.00302280927793808</v>
      </c>
    </row>
    <row r="31" customFormat="false" ht="12.75" hidden="false" customHeight="false" outlineLevel="0" collapsed="false">
      <c r="A31" s="2" t="s">
        <v>12</v>
      </c>
      <c r="B31" s="1" t="n">
        <f aca="false">B10/B$19</f>
        <v>0.00274445478264283</v>
      </c>
      <c r="C31" s="1" t="n">
        <f aca="false">C10/C$19</f>
        <v>0.000290062085319048</v>
      </c>
      <c r="D31" s="1" t="n">
        <f aca="false">D10/D$19</f>
        <v>0.00106075577314561</v>
      </c>
      <c r="E31" s="1" t="n">
        <f aca="false">E10/E$19</f>
        <v>0.00481658480740828</v>
      </c>
      <c r="F31" s="1" t="n">
        <f aca="false">F10/F$19</f>
        <v>0.0013842497546163</v>
      </c>
    </row>
    <row r="32" customFormat="false" ht="12.75" hidden="false" customHeight="false" outlineLevel="0" collapsed="false">
      <c r="B32" s="1"/>
      <c r="C32" s="1"/>
      <c r="D32" s="1"/>
      <c r="E32" s="1"/>
      <c r="F32" s="1"/>
    </row>
    <row r="33" customFormat="false" ht="12.75" hidden="false" customHeight="false" outlineLevel="0" collapsed="false">
      <c r="A33" s="0" t="s">
        <v>13</v>
      </c>
      <c r="B33" s="1" t="n">
        <f aca="false">B12/B$19</f>
        <v>0.00113117445254249</v>
      </c>
      <c r="C33" s="1" t="n">
        <f aca="false">C12/C$19</f>
        <v>0.000499402569329665</v>
      </c>
      <c r="D33" s="1" t="n">
        <f aca="false">D12/D$19</f>
        <v>0.000797990473241337</v>
      </c>
      <c r="E33" s="1" t="n">
        <f aca="false">E12/E$19</f>
        <v>0.00473127895681081</v>
      </c>
      <c r="F33" s="1" t="n">
        <f aca="false">F12/F$19</f>
        <v>0.00228901035506574</v>
      </c>
    </row>
    <row r="34" customFormat="false" ht="12.75" hidden="false" customHeight="false" outlineLevel="0" collapsed="false">
      <c r="A34" s="2" t="s">
        <v>14</v>
      </c>
      <c r="B34" s="1" t="n">
        <f aca="false">B13/B$19</f>
        <v>0.00113117445254249</v>
      </c>
      <c r="C34" s="1" t="n">
        <f aca="false">C13/C$19</f>
        <v>0.000499402569329665</v>
      </c>
      <c r="D34" s="1" t="n">
        <f aca="false">D13/D$19</f>
        <v>0.000797990473241337</v>
      </c>
      <c r="E34" s="1" t="n">
        <f aca="false">E13/E$19</f>
        <v>0.00473127895681081</v>
      </c>
      <c r="F34" s="1" t="n">
        <f aca="false">F13/F$19</f>
        <v>0.00228901035506574</v>
      </c>
    </row>
    <row r="35" customFormat="false" ht="12.75" hidden="false" customHeight="false" outlineLevel="0" collapsed="false">
      <c r="B35" s="1"/>
      <c r="C35" s="1"/>
      <c r="D35" s="1"/>
      <c r="E35" s="1"/>
      <c r="F35" s="1"/>
    </row>
    <row r="36" customFormat="false" ht="12.75" hidden="false" customHeight="false" outlineLevel="0" collapsed="false">
      <c r="A36" s="0" t="s">
        <v>15</v>
      </c>
      <c r="B36" s="1" t="n">
        <f aca="false">B15/B$19</f>
        <v>0.138785164839015</v>
      </c>
      <c r="C36" s="1" t="n">
        <f aca="false">C15/C$19</f>
        <v>0.198487508101879</v>
      </c>
      <c r="D36" s="1" t="n">
        <f aca="false">D15/D$19</f>
        <v>0.025659671751735</v>
      </c>
      <c r="E36" s="1" t="n">
        <f aca="false">E15/E$19</f>
        <v>0.0423528013770304</v>
      </c>
      <c r="F36" s="1" t="n">
        <f aca="false">F15/F$19</f>
        <v>0.0188702754262218</v>
      </c>
    </row>
    <row r="37" customFormat="false" ht="12.75" hidden="false" customHeight="false" outlineLevel="0" collapsed="false">
      <c r="B37" s="1"/>
      <c r="C37" s="1"/>
      <c r="D37" s="1"/>
      <c r="E37" s="1"/>
      <c r="F37" s="1"/>
    </row>
    <row r="38" customFormat="false" ht="12.75" hidden="false" customHeight="false" outlineLevel="0" collapsed="false">
      <c r="A38" s="0" t="s">
        <v>16</v>
      </c>
      <c r="B38" s="1" t="n">
        <f aca="false">B17/B$19</f>
        <v>0.861214835160985</v>
      </c>
      <c r="C38" s="1" t="n">
        <f aca="false">C17/C$19</f>
        <v>0.801512491896455</v>
      </c>
      <c r="D38" s="1" t="n">
        <f aca="false">D17/D$19</f>
        <v>0.974340328248265</v>
      </c>
      <c r="E38" s="1" t="n">
        <f aca="false">E17/E$19</f>
        <v>0.95764719862297</v>
      </c>
      <c r="F38" s="1" t="n">
        <f aca="false">F17/F$19</f>
        <v>0.981129724573778</v>
      </c>
    </row>
    <row r="39" customFormat="false" ht="12.75" hidden="false" customHeight="false" outlineLevel="0" collapsed="false">
      <c r="B39" s="1"/>
      <c r="C39" s="1"/>
      <c r="D39" s="1"/>
      <c r="E39" s="1"/>
      <c r="F39" s="1"/>
    </row>
    <row r="40" customFormat="false" ht="12.75" hidden="false" customHeight="false" outlineLevel="0" collapsed="false">
      <c r="A40" s="0" t="s">
        <v>17</v>
      </c>
      <c r="B40" s="1" t="n">
        <f aca="false">B19/B$19</f>
        <v>1</v>
      </c>
      <c r="C40" s="1" t="n">
        <f aca="false">C19/C$19</f>
        <v>1</v>
      </c>
      <c r="D40" s="1" t="n">
        <f aca="false">D19/D$19</f>
        <v>1</v>
      </c>
      <c r="E40" s="1" t="n">
        <f aca="false">E19/E$19</f>
        <v>1</v>
      </c>
      <c r="F40" s="1" t="n">
        <f aca="false">F19/F$19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93" colorId="64" zoomScale="100" zoomScaleNormal="100" zoomScalePageLayoutView="100" workbookViewId="0">
      <selection pane="topLeft" activeCell="E104" activeCellId="0" sqref="E104:E12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</row>
    <row r="2" customFormat="false" ht="12.75" hidden="false" customHeight="false" outlineLevel="0" collapsed="false"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</row>
    <row r="4" customFormat="false" ht="12.75" hidden="false" customHeight="false" outlineLevel="0" collapsed="false">
      <c r="E4" s="0" t="s">
        <v>32</v>
      </c>
      <c r="H4" s="0" t="s">
        <v>33</v>
      </c>
      <c r="J4" s="0" t="s">
        <v>34</v>
      </c>
    </row>
    <row r="5" customFormat="false" ht="12.75" hidden="false" customHeight="false" outlineLevel="0" collapsed="false">
      <c r="A5" s="0" t="s">
        <v>35</v>
      </c>
      <c r="B5" s="0" t="s">
        <v>36</v>
      </c>
      <c r="C5" s="0" t="s">
        <v>37</v>
      </c>
      <c r="E5" s="0" t="s">
        <v>38</v>
      </c>
      <c r="G5" s="0" t="s">
        <v>39</v>
      </c>
      <c r="H5" s="0" t="s">
        <v>40</v>
      </c>
      <c r="I5" s="0" t="s">
        <v>41</v>
      </c>
      <c r="J5" s="0" t="s">
        <v>42</v>
      </c>
    </row>
    <row r="6" customFormat="false" ht="12.75" hidden="false" customHeight="false" outlineLevel="0" collapsed="false">
      <c r="A6" s="0" t="s">
        <v>43</v>
      </c>
      <c r="B6" s="0" t="s">
        <v>44</v>
      </c>
      <c r="E6" s="0" t="n">
        <v>71228593.709</v>
      </c>
      <c r="G6" s="0" t="n">
        <v>18</v>
      </c>
      <c r="H6" s="0" t="n">
        <v>3957144.095</v>
      </c>
      <c r="I6" s="0" t="n">
        <v>68.765</v>
      </c>
      <c r="J6" s="0" t="n">
        <v>0</v>
      </c>
    </row>
    <row r="7" customFormat="false" ht="12.75" hidden="false" customHeight="false" outlineLevel="0" collapsed="false">
      <c r="A7" s="0" t="s">
        <v>45</v>
      </c>
      <c r="E7" s="0" t="n">
        <v>2385624.662</v>
      </c>
      <c r="G7" s="0" t="n">
        <v>1</v>
      </c>
      <c r="H7" s="0" t="n">
        <v>2385624.662</v>
      </c>
      <c r="I7" s="0" t="n">
        <v>41.456</v>
      </c>
      <c r="J7" s="0" t="n">
        <v>0</v>
      </c>
    </row>
    <row r="8" customFormat="false" ht="12.75" hidden="false" customHeight="false" outlineLevel="0" collapsed="false">
      <c r="A8" s="0" t="s">
        <v>46</v>
      </c>
      <c r="E8" s="0" t="n">
        <v>55356276.489</v>
      </c>
      <c r="G8" s="0" t="n">
        <v>1</v>
      </c>
      <c r="H8" s="0" t="n">
        <v>55356276.489</v>
      </c>
      <c r="I8" s="0" t="n">
        <v>961.948</v>
      </c>
      <c r="J8" s="0" t="n">
        <v>0</v>
      </c>
    </row>
    <row r="9" customFormat="false" ht="12.75" hidden="false" customHeight="false" outlineLevel="0" collapsed="false">
      <c r="A9" s="0" t="s">
        <v>47</v>
      </c>
      <c r="E9" s="0" t="n">
        <v>2029758.807</v>
      </c>
      <c r="G9" s="0" t="n">
        <v>16</v>
      </c>
      <c r="H9" s="0" t="n">
        <v>126859.925</v>
      </c>
      <c r="I9" s="0" t="n">
        <v>2.204</v>
      </c>
      <c r="J9" s="0" t="n">
        <v>0.004</v>
      </c>
    </row>
    <row r="11" customFormat="false" ht="12.75" hidden="false" customHeight="false" outlineLevel="0" collapsed="false">
      <c r="A11" s="0" t="s">
        <v>48</v>
      </c>
      <c r="B11" s="0" t="s">
        <v>49</v>
      </c>
      <c r="E11" s="0" t="n">
        <v>3192303.705</v>
      </c>
      <c r="G11" s="0" t="n">
        <v>33</v>
      </c>
      <c r="H11" s="0" t="n">
        <v>96736.476</v>
      </c>
      <c r="I11" s="0" t="n">
        <v>1.681</v>
      </c>
      <c r="J11" s="0" t="n">
        <v>0.009</v>
      </c>
    </row>
    <row r="12" customFormat="false" ht="12.75" hidden="false" customHeight="false" outlineLevel="0" collapsed="false">
      <c r="A12" s="0" t="s">
        <v>45</v>
      </c>
      <c r="B12" s="0" t="s">
        <v>46</v>
      </c>
      <c r="E12" s="0" t="n">
        <v>108460.125</v>
      </c>
      <c r="G12" s="0" t="n">
        <v>1</v>
      </c>
      <c r="H12" s="0" t="n">
        <v>108460.125</v>
      </c>
      <c r="I12" s="0" t="n">
        <v>1.885</v>
      </c>
      <c r="J12" s="0" t="n">
        <v>0.17</v>
      </c>
    </row>
    <row r="13" customFormat="false" ht="12.75" hidden="false" customHeight="false" outlineLevel="0" collapsed="false">
      <c r="A13" s="0" t="s">
        <v>45</v>
      </c>
      <c r="B13" s="0" t="s">
        <v>47</v>
      </c>
      <c r="E13" s="0" t="n">
        <v>1730307.173</v>
      </c>
      <c r="G13" s="0" t="n">
        <v>16</v>
      </c>
      <c r="H13" s="0" t="n">
        <v>108144.198</v>
      </c>
      <c r="I13" s="0" t="n">
        <v>1.879</v>
      </c>
      <c r="J13" s="0" t="n">
        <v>0.018</v>
      </c>
    </row>
    <row r="14" customFormat="false" ht="12.75" hidden="false" customHeight="false" outlineLevel="0" collapsed="false">
      <c r="A14" s="0" t="s">
        <v>46</v>
      </c>
      <c r="B14" s="0" t="s">
        <v>47</v>
      </c>
      <c r="E14" s="0" t="n">
        <v>1483754.937</v>
      </c>
      <c r="G14" s="0" t="n">
        <v>16</v>
      </c>
      <c r="H14" s="0" t="n">
        <v>92734.684</v>
      </c>
      <c r="I14" s="0" t="n">
        <v>1.611</v>
      </c>
      <c r="J14" s="0" t="n">
        <v>0.057</v>
      </c>
    </row>
    <row r="16" customFormat="false" ht="12.75" hidden="false" customHeight="false" outlineLevel="0" collapsed="false">
      <c r="A16" s="0" t="s">
        <v>50</v>
      </c>
      <c r="B16" s="0" t="s">
        <v>49</v>
      </c>
      <c r="E16" s="0" t="n">
        <v>611555.231</v>
      </c>
      <c r="G16" s="0" t="n">
        <v>16</v>
      </c>
      <c r="H16" s="0" t="n">
        <v>38222.202</v>
      </c>
      <c r="I16" s="0" t="n">
        <v>0.664</v>
      </c>
      <c r="J16" s="0" t="n">
        <v>0.832</v>
      </c>
    </row>
    <row r="17" customFormat="false" ht="12.75" hidden="false" customHeight="false" outlineLevel="0" collapsed="false">
      <c r="A17" s="0" t="s">
        <v>45</v>
      </c>
      <c r="B17" s="0" t="s">
        <v>46</v>
      </c>
      <c r="C17" s="0" t="s">
        <v>51</v>
      </c>
      <c r="D17" s="0" t="s">
        <v>31</v>
      </c>
      <c r="E17" s="0" t="n">
        <v>611555.231</v>
      </c>
      <c r="G17" s="0" t="n">
        <v>16</v>
      </c>
      <c r="H17" s="0" t="n">
        <v>38222.202</v>
      </c>
      <c r="I17" s="0" t="n">
        <v>0.664</v>
      </c>
      <c r="J17" s="0" t="n">
        <v>0.832</v>
      </c>
    </row>
    <row r="19" customFormat="false" ht="12.75" hidden="false" customHeight="false" outlineLevel="0" collapsed="false">
      <c r="A19" s="0" t="s">
        <v>15</v>
      </c>
      <c r="E19" s="0" t="n">
        <v>75032452.644</v>
      </c>
      <c r="G19" s="0" t="n">
        <v>67</v>
      </c>
      <c r="H19" s="0" t="n">
        <v>1119887.353</v>
      </c>
      <c r="I19" s="0" t="n">
        <v>19.461</v>
      </c>
      <c r="J19" s="0" t="n">
        <v>0</v>
      </c>
    </row>
    <row r="21" customFormat="false" ht="12.75" hidden="false" customHeight="false" outlineLevel="0" collapsed="false">
      <c r="A21" s="0" t="s">
        <v>16</v>
      </c>
      <c r="E21" s="0" t="n">
        <v>465604961.528</v>
      </c>
      <c r="F21" s="0" t="n">
        <v>8</v>
      </c>
      <c r="G21" s="0" t="n">
        <v>91</v>
      </c>
      <c r="H21" s="0" t="n">
        <v>57546.034</v>
      </c>
    </row>
    <row r="23" customFormat="false" ht="12.75" hidden="false" customHeight="false" outlineLevel="0" collapsed="false">
      <c r="A23" s="0" t="s">
        <v>17</v>
      </c>
      <c r="E23" s="0" t="n">
        <v>540637414.172</v>
      </c>
      <c r="F23" s="0" t="n">
        <v>8</v>
      </c>
      <c r="G23" s="0" t="n">
        <v>158</v>
      </c>
      <c r="H23" s="0" t="n">
        <v>66270.828</v>
      </c>
    </row>
    <row r="26" customFormat="false" ht="12.75" hidden="false" customHeight="false" outlineLevel="0" collapsed="false">
      <c r="B26" s="0" t="s">
        <v>27</v>
      </c>
      <c r="C26" s="0" t="s">
        <v>52</v>
      </c>
      <c r="D26" s="0" t="s">
        <v>29</v>
      </c>
      <c r="E26" s="0" t="s">
        <v>30</v>
      </c>
      <c r="F26" s="0" t="s">
        <v>31</v>
      </c>
    </row>
    <row r="28" customFormat="false" ht="12.75" hidden="false" customHeight="false" outlineLevel="0" collapsed="false">
      <c r="E28" s="0" t="s">
        <v>32</v>
      </c>
      <c r="H28" s="0" t="s">
        <v>33</v>
      </c>
      <c r="J28" s="0" t="s">
        <v>34</v>
      </c>
    </row>
    <row r="29" customFormat="false" ht="12.75" hidden="false" customHeight="false" outlineLevel="0" collapsed="false">
      <c r="A29" s="0" t="s">
        <v>35</v>
      </c>
      <c r="B29" s="0" t="s">
        <v>36</v>
      </c>
      <c r="C29" s="0" t="s">
        <v>37</v>
      </c>
      <c r="E29" s="0" t="s">
        <v>38</v>
      </c>
      <c r="G29" s="0" t="s">
        <v>39</v>
      </c>
      <c r="H29" s="0" t="s">
        <v>40</v>
      </c>
      <c r="I29" s="0" t="s">
        <v>41</v>
      </c>
      <c r="J29" s="0" t="s">
        <v>42</v>
      </c>
    </row>
    <row r="30" customFormat="false" ht="12.75" hidden="false" customHeight="false" outlineLevel="0" collapsed="false">
      <c r="A30" s="0" t="s">
        <v>43</v>
      </c>
      <c r="B30" s="0" t="s">
        <v>44</v>
      </c>
      <c r="E30" s="0" t="n">
        <v>117467621.79</v>
      </c>
      <c r="G30" s="0" t="n">
        <v>18</v>
      </c>
      <c r="H30" s="0" t="n">
        <v>6525978.988</v>
      </c>
      <c r="I30" s="0" t="n">
        <v>109.79</v>
      </c>
      <c r="J30" s="0" t="n">
        <v>0</v>
      </c>
    </row>
    <row r="31" customFormat="false" ht="12.75" hidden="false" customHeight="false" outlineLevel="0" collapsed="false">
      <c r="A31" s="0" t="s">
        <v>45</v>
      </c>
      <c r="E31" s="0" t="n">
        <v>3021117.976</v>
      </c>
      <c r="G31" s="0" t="n">
        <v>1</v>
      </c>
      <c r="H31" s="0" t="n">
        <v>3021117.976</v>
      </c>
      <c r="I31" s="0" t="n">
        <v>50.826</v>
      </c>
      <c r="J31" s="0" t="n">
        <v>0</v>
      </c>
    </row>
    <row r="32" customFormat="false" ht="12.75" hidden="false" customHeight="false" outlineLevel="0" collapsed="false">
      <c r="A32" s="0" t="s">
        <v>46</v>
      </c>
      <c r="E32" s="0" t="n">
        <v>96538834.291</v>
      </c>
      <c r="G32" s="0" t="n">
        <v>1</v>
      </c>
      <c r="H32" s="0" t="n">
        <v>96538834.291</v>
      </c>
      <c r="I32" s="0" t="n">
        <v>1624.128</v>
      </c>
      <c r="J32" s="0" t="n">
        <v>0</v>
      </c>
    </row>
    <row r="33" customFormat="false" ht="12.75" hidden="false" customHeight="false" outlineLevel="0" collapsed="false">
      <c r="A33" s="0" t="s">
        <v>47</v>
      </c>
      <c r="E33" s="0" t="n">
        <v>860639.517</v>
      </c>
      <c r="G33" s="0" t="n">
        <v>16</v>
      </c>
      <c r="H33" s="0" t="n">
        <v>53789.97</v>
      </c>
      <c r="I33" s="0" t="n">
        <v>0.905</v>
      </c>
      <c r="J33" s="0" t="n">
        <v>0.563</v>
      </c>
    </row>
    <row r="35" customFormat="false" ht="12.75" hidden="false" customHeight="false" outlineLevel="0" collapsed="false">
      <c r="A35" s="0" t="s">
        <v>48</v>
      </c>
      <c r="B35" s="0" t="s">
        <v>49</v>
      </c>
      <c r="E35" s="0" t="n">
        <v>1331364.065</v>
      </c>
      <c r="G35" s="0" t="n">
        <v>33</v>
      </c>
      <c r="H35" s="0" t="n">
        <v>40344.366</v>
      </c>
      <c r="I35" s="0" t="n">
        <v>0.679</v>
      </c>
      <c r="J35" s="0" t="n">
        <v>0.918</v>
      </c>
    </row>
    <row r="36" customFormat="false" ht="12.75" hidden="false" customHeight="false" outlineLevel="0" collapsed="false">
      <c r="A36" s="0" t="s">
        <v>45</v>
      </c>
      <c r="B36" s="0" t="s">
        <v>46</v>
      </c>
      <c r="E36" s="0" t="n">
        <v>289035.959</v>
      </c>
      <c r="G36" s="0" t="n">
        <v>1</v>
      </c>
      <c r="H36" s="0" t="n">
        <v>289035.959</v>
      </c>
      <c r="I36" s="0" t="n">
        <v>4.863</v>
      </c>
      <c r="J36" s="0" t="n">
        <v>0.027</v>
      </c>
    </row>
    <row r="37" customFormat="false" ht="12.75" hidden="false" customHeight="false" outlineLevel="0" collapsed="false">
      <c r="A37" s="0" t="s">
        <v>45</v>
      </c>
      <c r="B37" s="0" t="s">
        <v>47</v>
      </c>
      <c r="E37" s="0" t="n">
        <v>786719.536</v>
      </c>
      <c r="G37" s="0" t="n">
        <v>16</v>
      </c>
      <c r="H37" s="0" t="n">
        <v>49169.971</v>
      </c>
      <c r="I37" s="0" t="n">
        <v>0.827</v>
      </c>
      <c r="J37" s="0" t="n">
        <v>0.655</v>
      </c>
    </row>
    <row r="38" customFormat="false" ht="12.75" hidden="false" customHeight="false" outlineLevel="0" collapsed="false">
      <c r="A38" s="0" t="s">
        <v>46</v>
      </c>
      <c r="B38" s="0" t="s">
        <v>47</v>
      </c>
      <c r="E38" s="0" t="n">
        <v>174046.221</v>
      </c>
      <c r="G38" s="0" t="n">
        <v>16</v>
      </c>
      <c r="H38" s="0" t="n">
        <v>10877.889</v>
      </c>
      <c r="I38" s="0" t="n">
        <v>0.183</v>
      </c>
      <c r="J38" s="0" t="n">
        <v>1</v>
      </c>
    </row>
    <row r="40" customFormat="false" ht="12.75" hidden="false" customHeight="false" outlineLevel="0" collapsed="false">
      <c r="A40" s="0" t="s">
        <v>50</v>
      </c>
      <c r="B40" s="0" t="s">
        <v>49</v>
      </c>
      <c r="E40" s="0" t="n">
        <v>299656.985</v>
      </c>
      <c r="G40" s="0" t="n">
        <v>16</v>
      </c>
      <c r="H40" s="0" t="n">
        <v>18728.562</v>
      </c>
      <c r="I40" s="0" t="n">
        <v>0.315</v>
      </c>
      <c r="J40" s="0" t="n">
        <v>0.996</v>
      </c>
    </row>
    <row r="41" customFormat="false" ht="12.75" hidden="false" customHeight="false" outlineLevel="0" collapsed="false">
      <c r="A41" s="0" t="s">
        <v>45</v>
      </c>
      <c r="B41" s="0" t="s">
        <v>46</v>
      </c>
      <c r="C41" s="0" t="s">
        <v>51</v>
      </c>
      <c r="D41" s="0" t="s">
        <v>31</v>
      </c>
      <c r="E41" s="0" t="n">
        <v>299656.985</v>
      </c>
      <c r="G41" s="0" t="n">
        <v>16</v>
      </c>
      <c r="H41" s="0" t="n">
        <v>18728.562</v>
      </c>
      <c r="I41" s="0" t="n">
        <v>0.315</v>
      </c>
      <c r="J41" s="0" t="n">
        <v>0.996</v>
      </c>
    </row>
    <row r="43" customFormat="false" ht="12.75" hidden="false" customHeight="false" outlineLevel="0" collapsed="false">
      <c r="A43" s="0" t="s">
        <v>15</v>
      </c>
      <c r="E43" s="0" t="n">
        <v>119098642.84</v>
      </c>
      <c r="G43" s="0" t="n">
        <v>67</v>
      </c>
      <c r="H43" s="0" t="n">
        <v>1777591.684</v>
      </c>
      <c r="I43" s="0" t="n">
        <v>29.905</v>
      </c>
      <c r="J43" s="0" t="n">
        <v>0</v>
      </c>
    </row>
    <row r="45" customFormat="false" ht="12.75" hidden="false" customHeight="false" outlineLevel="0" collapsed="false">
      <c r="A45" s="0" t="s">
        <v>16</v>
      </c>
      <c r="E45" s="0" t="n">
        <v>480932280.913</v>
      </c>
      <c r="F45" s="0" t="n">
        <v>8</v>
      </c>
      <c r="G45" s="0" t="n">
        <v>91</v>
      </c>
      <c r="H45" s="0" t="n">
        <v>59440.401</v>
      </c>
    </row>
    <row r="47" customFormat="false" ht="12.75" hidden="false" customHeight="false" outlineLevel="0" collapsed="false">
      <c r="A47" s="0" t="s">
        <v>17</v>
      </c>
      <c r="E47" s="0" t="n">
        <v>600030923.754</v>
      </c>
      <c r="F47" s="0" t="n">
        <v>8</v>
      </c>
      <c r="G47" s="0" t="n">
        <v>158</v>
      </c>
      <c r="H47" s="0" t="n">
        <v>73551.229</v>
      </c>
    </row>
    <row r="50" customFormat="false" ht="12.75" hidden="false" customHeight="false" outlineLevel="0" collapsed="false">
      <c r="B50" s="0" t="s">
        <v>27</v>
      </c>
      <c r="C50" s="0" t="s">
        <v>53</v>
      </c>
      <c r="D50" s="0" t="s">
        <v>29</v>
      </c>
      <c r="E50" s="0" t="s">
        <v>30</v>
      </c>
      <c r="F50" s="0" t="s">
        <v>31</v>
      </c>
    </row>
    <row r="52" customFormat="false" ht="12.75" hidden="false" customHeight="false" outlineLevel="0" collapsed="false">
      <c r="E52" s="0" t="s">
        <v>32</v>
      </c>
      <c r="H52" s="0" t="s">
        <v>33</v>
      </c>
      <c r="J52" s="0" t="s">
        <v>34</v>
      </c>
    </row>
    <row r="53" customFormat="false" ht="12.75" hidden="false" customHeight="false" outlineLevel="0" collapsed="false">
      <c r="A53" s="0" t="s">
        <v>35</v>
      </c>
      <c r="B53" s="0" t="s">
        <v>36</v>
      </c>
      <c r="C53" s="0" t="s">
        <v>37</v>
      </c>
      <c r="E53" s="0" t="s">
        <v>38</v>
      </c>
      <c r="G53" s="0" t="s">
        <v>39</v>
      </c>
      <c r="H53" s="0" t="s">
        <v>40</v>
      </c>
      <c r="I53" s="0" t="s">
        <v>41</v>
      </c>
      <c r="J53" s="0" t="s">
        <v>42</v>
      </c>
    </row>
    <row r="54" customFormat="false" ht="12.75" hidden="false" customHeight="false" outlineLevel="0" collapsed="false">
      <c r="A54" s="0" t="s">
        <v>43</v>
      </c>
      <c r="B54" s="0" t="s">
        <v>44</v>
      </c>
      <c r="E54" s="0" t="n">
        <v>555816.784</v>
      </c>
      <c r="G54" s="0" t="n">
        <v>18</v>
      </c>
      <c r="H54" s="0" t="n">
        <v>30878.71</v>
      </c>
      <c r="I54" s="0" t="n">
        <v>9.923</v>
      </c>
      <c r="J54" s="0" t="n">
        <v>0</v>
      </c>
    </row>
    <row r="55" customFormat="false" ht="12.75" hidden="false" customHeight="false" outlineLevel="0" collapsed="false">
      <c r="A55" s="0" t="s">
        <v>45</v>
      </c>
      <c r="E55" s="0" t="n">
        <v>305994.072</v>
      </c>
      <c r="G55" s="0" t="n">
        <v>1</v>
      </c>
      <c r="H55" s="0" t="n">
        <v>305994.072</v>
      </c>
      <c r="I55" s="0" t="n">
        <v>98.337</v>
      </c>
      <c r="J55" s="0" t="n">
        <v>0</v>
      </c>
    </row>
    <row r="56" customFormat="false" ht="12.75" hidden="false" customHeight="false" outlineLevel="0" collapsed="false">
      <c r="A56" s="0" t="s">
        <v>46</v>
      </c>
      <c r="E56" s="0" t="n">
        <v>98745.278</v>
      </c>
      <c r="G56" s="0" t="n">
        <v>1</v>
      </c>
      <c r="H56" s="0" t="n">
        <v>98745.278</v>
      </c>
      <c r="I56" s="0" t="n">
        <v>31.734</v>
      </c>
      <c r="J56" s="0" t="n">
        <v>0</v>
      </c>
    </row>
    <row r="57" customFormat="false" ht="12.75" hidden="false" customHeight="false" outlineLevel="0" collapsed="false">
      <c r="A57" s="0" t="s">
        <v>47</v>
      </c>
      <c r="E57" s="0" t="n">
        <v>94050.636</v>
      </c>
      <c r="G57" s="0" t="n">
        <v>16</v>
      </c>
      <c r="H57" s="0" t="n">
        <v>5878.165</v>
      </c>
      <c r="I57" s="0" t="n">
        <v>1.889</v>
      </c>
      <c r="J57" s="0" t="n">
        <v>0.017</v>
      </c>
    </row>
    <row r="59" customFormat="false" ht="12.75" hidden="false" customHeight="false" outlineLevel="0" collapsed="false">
      <c r="A59" s="0" t="s">
        <v>48</v>
      </c>
      <c r="B59" s="0" t="s">
        <v>49</v>
      </c>
      <c r="E59" s="0" t="n">
        <v>86601.931</v>
      </c>
      <c r="G59" s="0" t="n">
        <v>33</v>
      </c>
      <c r="H59" s="0" t="n">
        <v>2624.301</v>
      </c>
      <c r="I59" s="0" t="n">
        <v>0.843</v>
      </c>
      <c r="J59" s="0" t="n">
        <v>0.722</v>
      </c>
    </row>
    <row r="60" customFormat="false" ht="12.75" hidden="false" customHeight="false" outlineLevel="0" collapsed="false">
      <c r="A60" s="0" t="s">
        <v>45</v>
      </c>
      <c r="B60" s="0" t="s">
        <v>46</v>
      </c>
      <c r="E60" s="0" t="n">
        <v>4407.322</v>
      </c>
      <c r="G60" s="0" t="n">
        <v>1</v>
      </c>
      <c r="H60" s="0" t="n">
        <v>4407.322</v>
      </c>
      <c r="I60" s="0" t="n">
        <v>1.416</v>
      </c>
      <c r="J60" s="0" t="n">
        <v>0.234</v>
      </c>
    </row>
    <row r="61" customFormat="false" ht="12.75" hidden="false" customHeight="false" outlineLevel="0" collapsed="false">
      <c r="A61" s="0" t="s">
        <v>45</v>
      </c>
      <c r="B61" s="0" t="s">
        <v>47</v>
      </c>
      <c r="E61" s="0" t="n">
        <v>53460.523</v>
      </c>
      <c r="G61" s="0" t="n">
        <v>16</v>
      </c>
      <c r="H61" s="0" t="n">
        <v>3341.283</v>
      </c>
      <c r="I61" s="0" t="n">
        <v>1.074</v>
      </c>
      <c r="J61" s="0" t="n">
        <v>0.374</v>
      </c>
    </row>
    <row r="62" customFormat="false" ht="12.75" hidden="false" customHeight="false" outlineLevel="0" collapsed="false">
      <c r="A62" s="0" t="s">
        <v>46</v>
      </c>
      <c r="B62" s="0" t="s">
        <v>47</v>
      </c>
      <c r="E62" s="0" t="n">
        <v>27409.625</v>
      </c>
      <c r="G62" s="0" t="n">
        <v>16</v>
      </c>
      <c r="H62" s="0" t="n">
        <v>1713.102</v>
      </c>
      <c r="I62" s="0" t="n">
        <v>0.551</v>
      </c>
      <c r="J62" s="0" t="n">
        <v>0.921</v>
      </c>
    </row>
    <row r="64" customFormat="false" ht="12.75" hidden="false" customHeight="false" outlineLevel="0" collapsed="false">
      <c r="A64" s="0" t="s">
        <v>50</v>
      </c>
      <c r="B64" s="0" t="s">
        <v>49</v>
      </c>
      <c r="E64" s="0" t="n">
        <v>20619.845</v>
      </c>
      <c r="G64" s="0" t="n">
        <v>16</v>
      </c>
      <c r="H64" s="0" t="n">
        <v>1288.74</v>
      </c>
      <c r="I64" s="0" t="n">
        <v>0.414</v>
      </c>
      <c r="J64" s="0" t="n">
        <v>0.98</v>
      </c>
    </row>
    <row r="65" customFormat="false" ht="12.75" hidden="false" customHeight="false" outlineLevel="0" collapsed="false">
      <c r="A65" s="0" t="s">
        <v>45</v>
      </c>
      <c r="B65" s="0" t="s">
        <v>46</v>
      </c>
      <c r="C65" s="0" t="s">
        <v>51</v>
      </c>
      <c r="D65" s="0" t="s">
        <v>31</v>
      </c>
      <c r="E65" s="0" t="n">
        <v>20619.845</v>
      </c>
      <c r="G65" s="0" t="n">
        <v>16</v>
      </c>
      <c r="H65" s="0" t="n">
        <v>1288.74</v>
      </c>
      <c r="I65" s="0" t="n">
        <v>0.414</v>
      </c>
      <c r="J65" s="0" t="n">
        <v>0.98</v>
      </c>
    </row>
    <row r="67" customFormat="false" ht="12.75" hidden="false" customHeight="false" outlineLevel="0" collapsed="false">
      <c r="A67" s="0" t="s">
        <v>15</v>
      </c>
      <c r="E67" s="0" t="n">
        <v>663038.56</v>
      </c>
      <c r="G67" s="0" t="n">
        <v>67</v>
      </c>
      <c r="H67" s="0" t="n">
        <v>9896.098</v>
      </c>
      <c r="I67" s="0" t="n">
        <v>3.18</v>
      </c>
      <c r="J67" s="0" t="n">
        <v>0</v>
      </c>
    </row>
    <row r="69" customFormat="false" ht="12.75" hidden="false" customHeight="false" outlineLevel="0" collapsed="false">
      <c r="A69" s="0" t="s">
        <v>16</v>
      </c>
      <c r="E69" s="0" t="n">
        <v>25176674.684</v>
      </c>
      <c r="F69" s="0" t="n">
        <v>8</v>
      </c>
      <c r="G69" s="0" t="n">
        <v>91</v>
      </c>
      <c r="H69" s="0" t="n">
        <v>3111.689</v>
      </c>
    </row>
    <row r="71" customFormat="false" ht="12.75" hidden="false" customHeight="false" outlineLevel="0" collapsed="false">
      <c r="A71" s="0" t="s">
        <v>17</v>
      </c>
      <c r="E71" s="0" t="n">
        <v>25839713.244</v>
      </c>
      <c r="F71" s="0" t="n">
        <v>8</v>
      </c>
      <c r="G71" s="0" t="n">
        <v>158</v>
      </c>
      <c r="H71" s="0" t="n">
        <v>3167.408</v>
      </c>
    </row>
    <row r="73" customFormat="false" ht="12.75" hidden="false" customHeight="false" outlineLevel="0" collapsed="false">
      <c r="B73" s="0" t="s">
        <v>27</v>
      </c>
      <c r="C73" s="0" t="s">
        <v>54</v>
      </c>
      <c r="D73" s="0" t="s">
        <v>29</v>
      </c>
      <c r="E73" s="0" t="s">
        <v>30</v>
      </c>
      <c r="F73" s="0" t="s">
        <v>31</v>
      </c>
    </row>
    <row r="76" customFormat="false" ht="12.75" hidden="false" customHeight="false" outlineLevel="0" collapsed="false">
      <c r="E76" s="0" t="s">
        <v>32</v>
      </c>
      <c r="H76" s="0" t="s">
        <v>33</v>
      </c>
      <c r="J76" s="0" t="s">
        <v>34</v>
      </c>
    </row>
    <row r="77" customFormat="false" ht="12.75" hidden="false" customHeight="false" outlineLevel="0" collapsed="false">
      <c r="A77" s="0" t="s">
        <v>35</v>
      </c>
      <c r="B77" s="0" t="s">
        <v>36</v>
      </c>
      <c r="C77" s="0" t="s">
        <v>37</v>
      </c>
      <c r="E77" s="0" t="s">
        <v>38</v>
      </c>
      <c r="G77" s="0" t="s">
        <v>39</v>
      </c>
      <c r="H77" s="0" t="s">
        <v>40</v>
      </c>
      <c r="I77" s="0" t="s">
        <v>41</v>
      </c>
      <c r="J77" s="0" t="s">
        <v>42</v>
      </c>
    </row>
    <row r="78" customFormat="false" ht="12.75" hidden="false" customHeight="false" outlineLevel="0" collapsed="false">
      <c r="A78" s="0" t="s">
        <v>43</v>
      </c>
      <c r="B78" s="0" t="s">
        <v>44</v>
      </c>
      <c r="E78" s="0" t="n">
        <v>6093225.937</v>
      </c>
      <c r="G78" s="0" t="n">
        <v>18</v>
      </c>
      <c r="H78" s="0" t="n">
        <v>338512.552</v>
      </c>
      <c r="I78" s="0" t="n">
        <v>13.96</v>
      </c>
      <c r="J78" s="0" t="n">
        <v>0</v>
      </c>
    </row>
    <row r="79" customFormat="false" ht="12.75" hidden="false" customHeight="false" outlineLevel="0" collapsed="false">
      <c r="A79" s="0" t="s">
        <v>45</v>
      </c>
      <c r="E79" s="0" t="n">
        <v>20167.943</v>
      </c>
      <c r="G79" s="0" t="n">
        <v>1</v>
      </c>
      <c r="H79" s="0" t="n">
        <v>20167.943</v>
      </c>
      <c r="I79" s="0" t="n">
        <v>0.832</v>
      </c>
      <c r="J79" s="0" t="n">
        <v>0.362</v>
      </c>
    </row>
    <row r="80" customFormat="false" ht="12.75" hidden="false" customHeight="false" outlineLevel="0" collapsed="false">
      <c r="A80" s="0" t="s">
        <v>46</v>
      </c>
      <c r="E80" s="0" t="n">
        <v>4980778.361</v>
      </c>
      <c r="G80" s="0" t="n">
        <v>1</v>
      </c>
      <c r="H80" s="0" t="n">
        <v>4980778.361</v>
      </c>
      <c r="I80" s="0" t="n">
        <v>205.409</v>
      </c>
      <c r="J80" s="0" t="n">
        <v>0</v>
      </c>
    </row>
    <row r="81" customFormat="false" ht="12.75" hidden="false" customHeight="false" outlineLevel="0" collapsed="false">
      <c r="A81" s="0" t="s">
        <v>47</v>
      </c>
      <c r="E81" s="0" t="n">
        <v>557623.922</v>
      </c>
      <c r="G81" s="0" t="n">
        <v>16</v>
      </c>
      <c r="H81" s="0" t="n">
        <v>34851.495</v>
      </c>
      <c r="I81" s="0" t="n">
        <v>1.437</v>
      </c>
      <c r="J81" s="0" t="n">
        <v>0.114</v>
      </c>
    </row>
    <row r="83" customFormat="false" ht="12.75" hidden="false" customHeight="false" outlineLevel="0" collapsed="false">
      <c r="A83" s="0" t="s">
        <v>48</v>
      </c>
      <c r="B83" s="0" t="s">
        <v>49</v>
      </c>
      <c r="E83" s="0" t="n">
        <v>1614217.912</v>
      </c>
      <c r="G83" s="0" t="n">
        <v>33</v>
      </c>
      <c r="H83" s="0" t="n">
        <v>48915.694</v>
      </c>
      <c r="I83" s="0" t="n">
        <v>2.017</v>
      </c>
      <c r="J83" s="0" t="n">
        <v>0</v>
      </c>
    </row>
    <row r="84" customFormat="false" ht="12.75" hidden="false" customHeight="false" outlineLevel="0" collapsed="false">
      <c r="A84" s="0" t="s">
        <v>45</v>
      </c>
      <c r="B84" s="0" t="s">
        <v>46</v>
      </c>
      <c r="E84" s="0" t="n">
        <v>166969.491</v>
      </c>
      <c r="G84" s="0" t="n">
        <v>1</v>
      </c>
      <c r="H84" s="0" t="n">
        <v>166969.491</v>
      </c>
      <c r="I84" s="0" t="n">
        <v>6.886</v>
      </c>
      <c r="J84" s="0" t="n">
        <v>0.009</v>
      </c>
    </row>
    <row r="85" customFormat="false" ht="12.75" hidden="false" customHeight="false" outlineLevel="0" collapsed="false">
      <c r="A85" s="0" t="s">
        <v>45</v>
      </c>
      <c r="B85" s="0" t="s">
        <v>47</v>
      </c>
      <c r="E85" s="0" t="n">
        <v>621067.974</v>
      </c>
      <c r="G85" s="0" t="n">
        <v>16</v>
      </c>
      <c r="H85" s="0" t="n">
        <v>38816.748</v>
      </c>
      <c r="I85" s="0" t="n">
        <v>1.601</v>
      </c>
      <c r="J85" s="0" t="n">
        <v>0.06</v>
      </c>
    </row>
    <row r="86" customFormat="false" ht="12.75" hidden="false" customHeight="false" outlineLevel="0" collapsed="false">
      <c r="A86" s="0" t="s">
        <v>46</v>
      </c>
      <c r="B86" s="0" t="s">
        <v>47</v>
      </c>
      <c r="E86" s="0" t="n">
        <v>986763.814</v>
      </c>
      <c r="G86" s="0" t="n">
        <v>16</v>
      </c>
      <c r="H86" s="0" t="n">
        <v>61672.738</v>
      </c>
      <c r="I86" s="0" t="n">
        <v>2.543</v>
      </c>
      <c r="J86" s="0" t="n">
        <v>0.001</v>
      </c>
    </row>
    <row r="88" customFormat="false" ht="12.75" hidden="false" customHeight="false" outlineLevel="0" collapsed="false">
      <c r="A88" s="0" t="s">
        <v>50</v>
      </c>
      <c r="B88" s="0" t="s">
        <v>49</v>
      </c>
      <c r="E88" s="0" t="n">
        <v>969287.38</v>
      </c>
      <c r="G88" s="0" t="n">
        <v>16</v>
      </c>
      <c r="H88" s="0" t="n">
        <v>60580.461</v>
      </c>
      <c r="I88" s="0" t="n">
        <v>2.498</v>
      </c>
      <c r="J88" s="0" t="n">
        <v>0.001</v>
      </c>
    </row>
    <row r="89" customFormat="false" ht="12.75" hidden="false" customHeight="false" outlineLevel="0" collapsed="false">
      <c r="A89" s="0" t="s">
        <v>45</v>
      </c>
      <c r="B89" s="0" t="s">
        <v>46</v>
      </c>
      <c r="C89" s="0" t="s">
        <v>51</v>
      </c>
      <c r="D89" s="0" t="s">
        <v>31</v>
      </c>
      <c r="E89" s="0" t="n">
        <v>969287.38</v>
      </c>
      <c r="G89" s="0" t="n">
        <v>16</v>
      </c>
      <c r="H89" s="0" t="n">
        <v>60580.461</v>
      </c>
      <c r="I89" s="0" t="n">
        <v>2.498</v>
      </c>
      <c r="J89" s="0" t="n">
        <v>0.001</v>
      </c>
    </row>
    <row r="91" customFormat="false" ht="12.75" hidden="false" customHeight="false" outlineLevel="0" collapsed="false">
      <c r="A91" s="0" t="s">
        <v>15</v>
      </c>
      <c r="E91" s="0" t="n">
        <v>8676731.23</v>
      </c>
      <c r="G91" s="0" t="n">
        <v>67</v>
      </c>
      <c r="H91" s="0" t="n">
        <v>129503.451</v>
      </c>
      <c r="I91" s="0" t="n">
        <v>5.341</v>
      </c>
      <c r="J91" s="0" t="n">
        <v>0</v>
      </c>
    </row>
    <row r="93" customFormat="false" ht="12.75" hidden="false" customHeight="false" outlineLevel="0" collapsed="false">
      <c r="A93" s="0" t="s">
        <v>16</v>
      </c>
      <c r="E93" s="0" t="n">
        <v>196191210.155</v>
      </c>
      <c r="F93" s="0" t="n">
        <v>8</v>
      </c>
      <c r="G93" s="0" t="n">
        <v>91</v>
      </c>
      <c r="H93" s="0" t="n">
        <v>24248.079</v>
      </c>
    </row>
    <row r="95" customFormat="false" ht="12.75" hidden="false" customHeight="false" outlineLevel="0" collapsed="false">
      <c r="A95" s="0" t="s">
        <v>17</v>
      </c>
      <c r="E95" s="0" t="n">
        <v>204867941.385</v>
      </c>
      <c r="F95" s="0" t="n">
        <v>8</v>
      </c>
      <c r="G95" s="0" t="n">
        <v>158</v>
      </c>
      <c r="H95" s="0" t="n">
        <v>25112.52</v>
      </c>
    </row>
    <row r="99" customFormat="false" ht="12.75" hidden="false" customHeight="false" outlineLevel="0" collapsed="false">
      <c r="B99" s="0" t="s">
        <v>27</v>
      </c>
      <c r="C99" s="0" t="s">
        <v>55</v>
      </c>
      <c r="D99" s="0" t="s">
        <v>29</v>
      </c>
      <c r="E99" s="0" t="s">
        <v>56</v>
      </c>
      <c r="F99" s="0" t="s">
        <v>57</v>
      </c>
      <c r="G99" s="0" t="s">
        <v>58</v>
      </c>
    </row>
    <row r="102" customFormat="false" ht="12.75" hidden="false" customHeight="false" outlineLevel="0" collapsed="false">
      <c r="E102" s="0" t="s">
        <v>32</v>
      </c>
      <c r="H102" s="0" t="s">
        <v>33</v>
      </c>
      <c r="J102" s="0" t="s">
        <v>34</v>
      </c>
    </row>
    <row r="103" customFormat="false" ht="12.75" hidden="false" customHeight="false" outlineLevel="0" collapsed="false">
      <c r="A103" s="0" t="s">
        <v>35</v>
      </c>
      <c r="B103" s="0" t="s">
        <v>36</v>
      </c>
      <c r="C103" s="0" t="s">
        <v>37</v>
      </c>
      <c r="E103" s="0" t="s">
        <v>38</v>
      </c>
      <c r="G103" s="0" t="s">
        <v>39</v>
      </c>
      <c r="H103" s="0" t="s">
        <v>40</v>
      </c>
      <c r="I103" s="0" t="s">
        <v>41</v>
      </c>
      <c r="J103" s="0" t="s">
        <v>42</v>
      </c>
    </row>
    <row r="104" customFormat="false" ht="12.75" hidden="false" customHeight="false" outlineLevel="0" collapsed="false">
      <c r="A104" s="0" t="s">
        <v>43</v>
      </c>
      <c r="B104" s="0" t="s">
        <v>44</v>
      </c>
      <c r="E104" s="0" t="n">
        <v>355552.414</v>
      </c>
      <c r="G104" s="0" t="n">
        <v>18</v>
      </c>
      <c r="H104" s="0" t="n">
        <v>19752.912</v>
      </c>
      <c r="I104" s="0" t="n">
        <v>5.153</v>
      </c>
      <c r="J104" s="0" t="n">
        <v>0</v>
      </c>
    </row>
    <row r="105" customFormat="false" ht="12.75" hidden="false" customHeight="false" outlineLevel="0" collapsed="false">
      <c r="A105" s="0" t="s">
        <v>45</v>
      </c>
      <c r="E105" s="0" t="n">
        <v>47334.018</v>
      </c>
      <c r="G105" s="0" t="n">
        <v>1</v>
      </c>
      <c r="H105" s="0" t="n">
        <v>47334.018</v>
      </c>
      <c r="I105" s="0" t="n">
        <v>12.349</v>
      </c>
      <c r="J105" s="0" t="n">
        <v>0</v>
      </c>
    </row>
    <row r="106" customFormat="false" ht="12.75" hidden="false" customHeight="false" outlineLevel="0" collapsed="false">
      <c r="A106" s="0" t="s">
        <v>46</v>
      </c>
      <c r="E106" s="0" t="n">
        <v>25845.535</v>
      </c>
      <c r="G106" s="0" t="n">
        <v>1</v>
      </c>
      <c r="H106" s="0" t="n">
        <v>25845.535</v>
      </c>
      <c r="I106" s="0" t="n">
        <v>6.743</v>
      </c>
      <c r="J106" s="0" t="n">
        <v>0.009</v>
      </c>
    </row>
    <row r="107" customFormat="false" ht="12.75" hidden="false" customHeight="false" outlineLevel="0" collapsed="false">
      <c r="A107" s="0" t="s">
        <v>47</v>
      </c>
      <c r="E107" s="0" t="n">
        <v>234230.975</v>
      </c>
      <c r="G107" s="0" t="n">
        <v>16</v>
      </c>
      <c r="H107" s="0" t="n">
        <v>14639.436</v>
      </c>
      <c r="I107" s="0" t="n">
        <v>3.819</v>
      </c>
      <c r="J107" s="0" t="n">
        <v>0</v>
      </c>
    </row>
    <row r="109" customFormat="false" ht="12.75" hidden="false" customHeight="false" outlineLevel="0" collapsed="false">
      <c r="A109" s="0" t="s">
        <v>48</v>
      </c>
      <c r="B109" s="0" t="s">
        <v>49</v>
      </c>
      <c r="E109" s="0" t="n">
        <v>168564.633</v>
      </c>
      <c r="G109" s="0" t="n">
        <v>33</v>
      </c>
      <c r="H109" s="0" t="n">
        <v>5108.019</v>
      </c>
      <c r="I109" s="0" t="n">
        <v>1.333</v>
      </c>
      <c r="J109" s="0" t="n">
        <v>0.097</v>
      </c>
    </row>
    <row r="110" customFormat="false" ht="12.75" hidden="false" customHeight="false" outlineLevel="0" collapsed="false">
      <c r="A110" s="0" t="s">
        <v>45</v>
      </c>
      <c r="B110" s="0" t="s">
        <v>46</v>
      </c>
      <c r="E110" s="0" t="n">
        <v>17940.873</v>
      </c>
      <c r="G110" s="0" t="n">
        <v>1</v>
      </c>
      <c r="H110" s="0" t="n">
        <v>17940.873</v>
      </c>
      <c r="I110" s="0" t="n">
        <v>4.681</v>
      </c>
      <c r="J110" s="0" t="n">
        <v>0.031</v>
      </c>
    </row>
    <row r="111" customFormat="false" ht="12.75" hidden="false" customHeight="false" outlineLevel="0" collapsed="false">
      <c r="A111" s="0" t="s">
        <v>45</v>
      </c>
      <c r="B111" s="0" t="s">
        <v>47</v>
      </c>
      <c r="E111" s="0" t="n">
        <v>95547.949</v>
      </c>
      <c r="G111" s="0" t="n">
        <v>16</v>
      </c>
      <c r="H111" s="0" t="n">
        <v>5971.747</v>
      </c>
      <c r="I111" s="0" t="n">
        <v>1.558</v>
      </c>
      <c r="J111" s="0" t="n">
        <v>0.071</v>
      </c>
    </row>
    <row r="112" customFormat="false" ht="12.75" hidden="false" customHeight="false" outlineLevel="0" collapsed="false">
      <c r="A112" s="0" t="s">
        <v>46</v>
      </c>
      <c r="B112" s="0" t="s">
        <v>47</v>
      </c>
      <c r="E112" s="0" t="n">
        <v>43754.737</v>
      </c>
      <c r="G112" s="0" t="n">
        <v>16</v>
      </c>
      <c r="H112" s="0" t="n">
        <v>2734.671</v>
      </c>
      <c r="I112" s="0" t="n">
        <v>0.713</v>
      </c>
      <c r="J112" s="0" t="n">
        <v>0.783</v>
      </c>
    </row>
    <row r="114" customFormat="false" ht="12.75" hidden="false" customHeight="false" outlineLevel="0" collapsed="false">
      <c r="A114" s="0" t="s">
        <v>50</v>
      </c>
      <c r="B114" s="0" t="s">
        <v>49</v>
      </c>
      <c r="E114" s="0" t="n">
        <v>72353.306</v>
      </c>
      <c r="G114" s="0" t="n">
        <v>16</v>
      </c>
      <c r="H114" s="0" t="n">
        <v>4522.082</v>
      </c>
      <c r="I114" s="0" t="n">
        <v>1.18</v>
      </c>
      <c r="J114" s="0" t="n">
        <v>0.275</v>
      </c>
    </row>
    <row r="115" customFormat="false" ht="12.75" hidden="false" customHeight="false" outlineLevel="0" collapsed="false">
      <c r="A115" s="0" t="s">
        <v>45</v>
      </c>
      <c r="B115" s="0" t="s">
        <v>46</v>
      </c>
      <c r="C115" s="0" t="s">
        <v>51</v>
      </c>
      <c r="D115" s="0" t="s">
        <v>31</v>
      </c>
      <c r="E115" s="0" t="n">
        <v>72353.306</v>
      </c>
      <c r="G115" s="0" t="n">
        <v>16</v>
      </c>
      <c r="H115" s="0" t="n">
        <v>4522.082</v>
      </c>
      <c r="I115" s="0" t="n">
        <v>1.18</v>
      </c>
      <c r="J115" s="0" t="n">
        <v>0.275</v>
      </c>
    </row>
    <row r="117" customFormat="false" ht="12.75" hidden="false" customHeight="false" outlineLevel="0" collapsed="false">
      <c r="A117" s="0" t="s">
        <v>15</v>
      </c>
      <c r="E117" s="0" t="n">
        <v>596470.352</v>
      </c>
      <c r="G117" s="0" t="n">
        <v>67</v>
      </c>
      <c r="H117" s="0" t="n">
        <v>8902.543</v>
      </c>
      <c r="I117" s="0" t="n">
        <v>2.323</v>
      </c>
      <c r="J117" s="0" t="n">
        <v>0</v>
      </c>
    </row>
    <row r="119" customFormat="false" ht="12.75" hidden="false" customHeight="false" outlineLevel="0" collapsed="false">
      <c r="A119" s="0" t="s">
        <v>16</v>
      </c>
      <c r="E119" s="0" t="n">
        <v>31012519.9</v>
      </c>
      <c r="F119" s="0" t="n">
        <v>8</v>
      </c>
      <c r="G119" s="0" t="n">
        <v>91</v>
      </c>
      <c r="H119" s="0" t="n">
        <v>3832.965</v>
      </c>
    </row>
    <row r="121" customFormat="false" ht="12.75" hidden="false" customHeight="false" outlineLevel="0" collapsed="false">
      <c r="A121" s="0" t="s">
        <v>17</v>
      </c>
      <c r="E121" s="0" t="n">
        <v>31608990.252</v>
      </c>
      <c r="F121" s="0" t="n">
        <v>8</v>
      </c>
      <c r="G121" s="0" t="n">
        <v>158</v>
      </c>
      <c r="H121" s="0" t="n">
        <v>3874.6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